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/Desktop/"/>
    </mc:Choice>
  </mc:AlternateContent>
  <xr:revisionPtr revIDLastSave="0" documentId="13_ncr:1_{0A988EC4-F7E4-6D4B-BC3A-1111964F5B2E}" xr6:coauthVersionLast="47" xr6:coauthVersionMax="47" xr10:uidLastSave="{00000000-0000-0000-0000-000000000000}"/>
  <bookViews>
    <workbookView xWindow="0" yWindow="0" windowWidth="28800" windowHeight="18000" xr2:uid="{D5CB8099-BDBF-0A4C-8BD4-43BFFAB019D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K5" i="1"/>
  <c r="L5" i="1"/>
  <c r="M5" i="1"/>
  <c r="J5" i="1"/>
  <c r="I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Q22" i="2"/>
  <c r="J6" i="1"/>
  <c r="K6" i="1"/>
  <c r="L6" i="1"/>
  <c r="M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C6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B6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M22" i="2"/>
</calcChain>
</file>

<file path=xl/sharedStrings.xml><?xml version="1.0" encoding="utf-8"?>
<sst xmlns="http://schemas.openxmlformats.org/spreadsheetml/2006/main" count="121" uniqueCount="53">
  <si>
    <t>Weight</t>
  </si>
  <si>
    <t>Volume</t>
  </si>
  <si>
    <t>dF</t>
  </si>
  <si>
    <t>As</t>
  </si>
  <si>
    <t>Result</t>
  </si>
  <si>
    <t>(g)</t>
  </si>
  <si>
    <t>(mL)</t>
  </si>
  <si>
    <t>ug/L</t>
  </si>
  <si>
    <t>Blank Spike</t>
  </si>
  <si>
    <t>Cek Std (CRM)</t>
  </si>
  <si>
    <t>Conc.spiked</t>
  </si>
  <si>
    <t>LOD</t>
  </si>
  <si>
    <t>LOQ</t>
  </si>
  <si>
    <t>Cd</t>
  </si>
  <si>
    <t>Hg</t>
  </si>
  <si>
    <t>Pb</t>
  </si>
  <si>
    <t>Al</t>
  </si>
  <si>
    <t>Sample ID</t>
  </si>
  <si>
    <t>QC CRITERIA CHECK</t>
  </si>
  <si>
    <t>Calibration Curve</t>
  </si>
  <si>
    <t>r ≥ 0.995</t>
  </si>
  <si>
    <t>Calibration Standar Check Recovery</t>
  </si>
  <si>
    <t>100 ± 10%</t>
  </si>
  <si>
    <t>Sample &amp; QC Spike Recovery</t>
  </si>
  <si>
    <t>60-115%</t>
  </si>
  <si>
    <t>RPD</t>
  </si>
  <si>
    <t>≤ 25%</t>
  </si>
  <si>
    <t>Blank Baku</t>
  </si>
  <si>
    <t>BAKU 10 PPB</t>
  </si>
  <si>
    <t>BAKU 50 PPB</t>
  </si>
  <si>
    <t>BAKU 100 PPB</t>
  </si>
  <si>
    <t>BAKU 300 PPB</t>
  </si>
  <si>
    <t>BAKU 500 PPB</t>
  </si>
  <si>
    <t>BAKU 700 PPB</t>
  </si>
  <si>
    <t>BAKU 800 PPB</t>
  </si>
  <si>
    <t>BAKU 1000 PPB</t>
  </si>
  <si>
    <t>CS 500 ppb</t>
  </si>
  <si>
    <t>(ppb)</t>
  </si>
  <si>
    <t>Blank Mars (Date)</t>
  </si>
  <si>
    <t>ID SAMPLE</t>
  </si>
  <si>
    <t>Standard</t>
  </si>
  <si>
    <t>Cek STD</t>
  </si>
  <si>
    <t>Conc.</t>
  </si>
  <si>
    <t>Unit</t>
  </si>
  <si>
    <t>Table Data</t>
  </si>
  <si>
    <t>Table Standard</t>
  </si>
  <si>
    <t>Rec. Al %</t>
  </si>
  <si>
    <t>Rec. Pb %</t>
  </si>
  <si>
    <t>Rec. Cd %</t>
  </si>
  <si>
    <t>Rec. As %</t>
  </si>
  <si>
    <t>Rec Hg %</t>
  </si>
  <si>
    <t>mg/kg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</si>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</sst>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Aptos Narrow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Aptos Narrow"/>
      <scheme val="minor"/>
    </font>
    <font>
      <b/>
      <sz val="12"/>
      <color theme="0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5" fontId="3" fillId="0" borderId="0" xfId="0" applyNumberFormat="1" applyFont="1"/>
    <xf numFmtId="175" fontId="10" fillId="0" borderId="0" xfId="0" applyNumberFormat="1" applyFont="1"/>
    <xf numFmtId="175" fontId="7" fillId="0" borderId="12" xfId="0" applyNumberFormat="1" applyFont="1" applyBorder="1" applyAlignment="1">
      <alignment horizontal="center"/>
    </xf>
    <xf numFmtId="175" fontId="7" fillId="0" borderId="6" xfId="0" applyNumberFormat="1" applyFont="1" applyBorder="1" applyAlignment="1">
      <alignment horizontal="center"/>
    </xf>
    <xf numFmtId="175" fontId="7" fillId="0" borderId="15" xfId="0" applyNumberFormat="1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8" fillId="0" borderId="4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75" formatCode="0.0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75" formatCode="0.0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75" formatCode="0.0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75" formatCode="0.0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75" formatCode="0.0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5E396-E4C7-2348-ADA9-7B919511A90F}" name="Table2" displayName="Table2" ref="C4:G41" totalsRowShown="0" headerRowDxfId="37" dataDxfId="36" headerRowBorderDxfId="34" tableBorderDxfId="35" totalsRowBorderDxfId="33">
  <autoFilter ref="C4:G41" xr:uid="{8475E396-E4C7-2348-ADA9-7B919511A90F}"/>
  <tableColumns count="5">
    <tableColumn id="1" xr3:uid="{C842AB61-78A2-0849-A256-4B0DE941AFE5}" name="Al" dataDxfId="28">
      <calculatedColumnFormula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calculatedColumnFormula>
    </tableColumn>
    <tableColumn id="2" xr3:uid="{A170B34B-97B8-9A41-8D69-A782D780B5ED}" name="Pb" dataDxfId="27">
      <calculatedColumnFormula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calculatedColumnFormula>
    </tableColumn>
    <tableColumn id="3" xr3:uid="{535033B4-20AA-7945-A5BC-12E06CF52833}" name="Cd" dataDxfId="26">
      <calculatedColumnFormula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calculatedColumnFormula>
    </tableColumn>
    <tableColumn id="4" xr3:uid="{01247547-DD16-E54C-A5C6-3C28C45F1F14}" name="As" dataDxfId="25">
      <calculatedColumnFormula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calculatedColumnFormula>
    </tableColumn>
    <tableColumn id="5" xr3:uid="{D6FAF994-D8E6-7F49-BAEF-E51FEA6E6968}" name="Hg" dataDxfId="24">
      <calculatedColumnFormula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1712CB-1921-3A4C-A44D-12420A23C867}" name="TableResult" displayName="TableResult" ref="B4:B41" totalsRowShown="0" headerRowDxfId="32" dataDxfId="31" tableBorderDxfId="30">
  <autoFilter ref="B4:B41" xr:uid="{0E1712CB-1921-3A4C-A44D-12420A23C867}"/>
  <tableColumns count="1">
    <tableColumn id="1" xr3:uid="{D2113F67-5FA3-7342-AE20-856FFCB29C7D}" name="Sample ID" dataDxfId="29">
      <calculatedColumnFormula>TableData[[#This Row],[ID SAMPLE]]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0AE7B8-ED85-2C42-8EAC-5E5C9AF98FFF}" name="TableData" displayName="TableData" ref="B4:J41" insertRowShift="1" totalsRowShown="0" headerRowDxfId="12" dataDxfId="11" headerRowBorderDxfId="9" tableBorderDxfId="10">
  <autoFilter ref="B4:J41" xr:uid="{3A0AE7B8-ED85-2C42-8EAC-5E5C9AF98FFF}"/>
  <tableColumns count="9">
    <tableColumn id="7" xr3:uid="{A2C03DB7-45E6-3540-B28A-CAB4FD2D2A26}" name="ID SAMPLE" dataDxfId="8"/>
    <tableColumn id="1" xr3:uid="{CF92E03A-E249-B540-8C98-0E8E85F5B120}" name="Al" dataDxfId="7"/>
    <tableColumn id="2" xr3:uid="{195DE95D-CE65-7940-9571-A0215709F8CD}" name="Pb" dataDxfId="6"/>
    <tableColumn id="3" xr3:uid="{0415DE1E-BA5F-F04B-8843-DADB5445769E}" name="Cd" dataDxfId="5"/>
    <tableColumn id="4" xr3:uid="{EBCB08FB-7D99-7849-8056-05E62FA94AB7}" name="As" dataDxfId="4"/>
    <tableColumn id="5" xr3:uid="{0A3D18E7-2171-BA4D-9B3A-EE223DBBFDA0}" name="Hg" dataDxfId="3"/>
    <tableColumn id="8" xr3:uid="{E2A4AA89-9EFC-F446-AA06-13C7B6B424F1}" name="Weight" dataDxfId="2"/>
    <tableColumn id="9" xr3:uid="{6E3BD15D-44F2-0D44-852B-70475AFBA832}" name="Volume" dataDxfId="1"/>
    <tableColumn id="10" xr3:uid="{63B7D1A0-0C59-A94A-8025-179514D73287}" name="dF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4F7D76-D628-7D45-8F44-16BABBD9E5E1}" name="TableStandard" displayName="TableStandard" ref="L4:Q16" totalsRowShown="0" headerRowDxfId="20" dataDxfId="19">
  <autoFilter ref="L4:Q16" xr:uid="{DD4F7D76-D628-7D45-8F44-16BABBD9E5E1}"/>
  <tableColumns count="6">
    <tableColumn id="1" xr3:uid="{A69D8702-751B-F846-B21A-64120F533FCE}" name="Standard" dataDxfId="18"/>
    <tableColumn id="2" xr3:uid="{EF1F707C-D535-B641-BF07-F8474667AD18}" name="Al" dataDxfId="17"/>
    <tableColumn id="3" xr3:uid="{8252B1FF-0B89-5145-95FB-036052491CFC}" name="Pb" dataDxfId="16"/>
    <tableColumn id="4" xr3:uid="{E921C6B6-D07F-5048-A423-DA8A3EE76914}" name="Cd" dataDxfId="15"/>
    <tableColumn id="5" xr3:uid="{AABA3510-BCE2-1140-830A-E91B3FB8B625}" name="As" dataDxfId="14"/>
    <tableColumn id="6" xr3:uid="{C1A3493B-9E19-5F4E-8200-4F9F75A62BDE}" name="Hg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528DC2-7309-514F-822C-9AA0A0A466B3}" name="Table8" displayName="Table8" ref="L18:N22" totalsRowShown="0">
  <autoFilter ref="L18:N22" xr:uid="{40528DC2-7309-514F-822C-9AA0A0A466B3}"/>
  <tableColumns count="3">
    <tableColumn id="1" xr3:uid="{9C736D8E-49B1-1245-8429-C67FD244DE40}" name="Cek STD" dataDxfId="40"/>
    <tableColumn id="2" xr3:uid="{89FD4175-0FBF-094D-9652-019CC3AB60E8}" name="Conc." dataDxfId="39"/>
    <tableColumn id="3" xr3:uid="{774B1427-43B1-7844-8B26-036678A0BE50}" name="Unit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C939D8-7E06-A147-BB35-49D52BBA0A12}" name="Table810" displayName="Table810" ref="P18:R22" totalsRowShown="0">
  <autoFilter ref="P18:R22" xr:uid="{F5C939D8-7E06-A147-BB35-49D52BBA0A12}"/>
  <tableColumns count="3">
    <tableColumn id="1" xr3:uid="{3375467F-51C1-054C-A0F1-61621E3078BA}" name="Cek STD" dataDxfId="23"/>
    <tableColumn id="2" xr3:uid="{EE09EBEC-86E6-AF44-A015-A863FB9D814E}" name="Conc." dataDxfId="22"/>
    <tableColumn id="3" xr3:uid="{82C8B14C-05E2-8B42-BDD1-8145A18F0763}" name="Unit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3C6E-5153-1E41-A1B1-E78B869CCF9D}">
  <dimension ref="B3:M49"/>
  <sheetViews>
    <sheetView tabSelected="1" topLeftCell="D1" zoomScale="150" zoomScaleNormal="50" workbookViewId="0">
      <selection activeCell="M10" sqref="M10"/>
    </sheetView>
  </sheetViews>
  <sheetFormatPr baseColWidth="10" defaultRowHeight="16" x14ac:dyDescent="0.2"/>
  <cols>
    <col min="2" max="2" width="12" bestFit="1" customWidth="1"/>
    <col min="8" max="8" width="12.33203125" bestFit="1" customWidth="1"/>
    <col min="9" max="9" width="25.83203125" bestFit="1" customWidth="1"/>
    <col min="10" max="10" width="13.1640625" bestFit="1" customWidth="1"/>
    <col min="11" max="11" width="12.83203125" bestFit="1" customWidth="1"/>
    <col min="12" max="12" width="12.5" bestFit="1" customWidth="1"/>
    <col min="13" max="13" width="26" bestFit="1" customWidth="1"/>
    <col min="14" max="14" width="8.5" bestFit="1" customWidth="1"/>
  </cols>
  <sheetData>
    <row r="3" spans="2:13" x14ac:dyDescent="0.2">
      <c r="B3" s="28" t="s">
        <v>4</v>
      </c>
      <c r="C3" s="28"/>
      <c r="D3" s="28"/>
      <c r="E3" s="28"/>
      <c r="F3" s="28"/>
      <c r="G3" s="29"/>
    </row>
    <row r="4" spans="2:13" x14ac:dyDescent="0.2">
      <c r="B4" s="13" t="s">
        <v>17</v>
      </c>
      <c r="C4" s="9" t="s">
        <v>16</v>
      </c>
      <c r="D4" s="8" t="s">
        <v>15</v>
      </c>
      <c r="E4" s="8" t="s">
        <v>13</v>
      </c>
      <c r="F4" s="8" t="s">
        <v>3</v>
      </c>
      <c r="G4" s="10" t="s">
        <v>14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</row>
    <row r="5" spans="2:13" x14ac:dyDescent="0.2">
      <c r="B5" s="11"/>
      <c r="C5" s="35" t="s">
        <v>51</v>
      </c>
      <c r="D5" s="35" t="s">
        <v>51</v>
      </c>
      <c r="E5" s="35" t="s">
        <v>51</v>
      </c>
      <c r="F5" s="35" t="s">
        <v>51</v>
      </c>
      <c r="G5" s="35" t="s">
        <v>51</v>
      </c>
      <c r="I5" s="37">
        <f>10*(Sheet2!M16/Sheet2!Q19)*100</f>
        <v>0</v>
      </c>
      <c r="J5" s="37">
        <f>10*(Sheet2!N16/Sheet2!$M$19)*100</f>
        <v>0</v>
      </c>
      <c r="K5" s="37">
        <f>10*(Sheet2!O16/Sheet2!$M$19)*100</f>
        <v>0</v>
      </c>
      <c r="L5" s="37">
        <f>10*(Sheet2!P16/Sheet2!$M$19)*100</f>
        <v>0</v>
      </c>
      <c r="M5" s="37">
        <f>10*(Sheet2!Q16/Sheet2!$M$19)*100</f>
        <v>0</v>
      </c>
    </row>
    <row r="6" spans="2:13" x14ac:dyDescent="0.2">
      <c r="B6" s="12" t="str">
        <f>TableData[[#This Row],[ID SAMPLE]]</f>
        <v>ID SAMPLE</v>
      </c>
      <c r="C6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6" s="22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6" s="22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6" s="22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6" s="22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6" s="37">
        <f>(Sheet2!M$16/Sheet2!$Q$19)*100</f>
        <v>0</v>
      </c>
      <c r="J6" s="38">
        <f>(Sheet2!N$16/Sheet2!$M$19)*10</f>
        <v>0</v>
      </c>
      <c r="K6" s="38">
        <f>(Sheet2!O$16/Sheet2!$M$19)*10</f>
        <v>0</v>
      </c>
      <c r="L6" s="38">
        <f>(Sheet2!P$16/Sheet2!$M$19)*10</f>
        <v>0</v>
      </c>
      <c r="M6" s="38">
        <f>(Sheet2!Q$16/Sheet2!$M$19)*10</f>
        <v>0</v>
      </c>
    </row>
    <row r="7" spans="2:13" x14ac:dyDescent="0.2">
      <c r="B7" s="12" t="str">
        <f>TableData[[#This Row],[ID SAMPLE]]</f>
        <v>ID SAMPLE</v>
      </c>
      <c r="C7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7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7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7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7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8" spans="2:13" x14ac:dyDescent="0.2">
      <c r="B8" s="12" t="str">
        <f>TableData[[#This Row],[ID SAMPLE]]</f>
        <v>ID SAMPLE</v>
      </c>
      <c r="C8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8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8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8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8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9" spans="2:13" x14ac:dyDescent="0.2">
      <c r="B9" s="12" t="str">
        <f>TableData[[#This Row],[ID SAMPLE]]</f>
        <v>ID SAMPLE</v>
      </c>
      <c r="C9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9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9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9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9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10" spans="2:13" x14ac:dyDescent="0.2">
      <c r="B10" s="12" t="str">
        <f>TableData[[#This Row],[ID SAMPLE]]</f>
        <v>ID SAMPLE</v>
      </c>
      <c r="C10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0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0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0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0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11" spans="2:13" x14ac:dyDescent="0.2">
      <c r="B11" s="12" t="str">
        <f>TableData[[#This Row],[ID SAMPLE]]</f>
        <v>ID SAMPLE</v>
      </c>
      <c r="C11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1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1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1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1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11" s="39" t="s">
        <v>18</v>
      </c>
      <c r="J11" s="40"/>
      <c r="K11" s="41"/>
    </row>
    <row r="12" spans="2:13" x14ac:dyDescent="0.2">
      <c r="B12" s="12" t="str">
        <f>TableData[[#This Row],[ID SAMPLE]]</f>
        <v>ID SAMPLE</v>
      </c>
      <c r="C12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2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2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2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2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12" s="6" t="s">
        <v>19</v>
      </c>
      <c r="J12" s="6" t="s">
        <v>20</v>
      </c>
      <c r="K12" s="7"/>
    </row>
    <row r="13" spans="2:13" x14ac:dyDescent="0.2">
      <c r="B13" s="12" t="str">
        <f>TableData[[#This Row],[ID SAMPLE]]</f>
        <v>ID SAMPLE</v>
      </c>
      <c r="C13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3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3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3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3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13" s="6" t="s">
        <v>21</v>
      </c>
      <c r="J13" s="6" t="s">
        <v>22</v>
      </c>
      <c r="K13" s="7"/>
    </row>
    <row r="14" spans="2:13" x14ac:dyDescent="0.2">
      <c r="B14" s="12" t="str">
        <f>TableData[[#This Row],[ID SAMPLE]]</f>
        <v>ID SAMPLE</v>
      </c>
      <c r="C14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4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4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4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4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14" s="6" t="s">
        <v>23</v>
      </c>
      <c r="J14" s="6" t="s">
        <v>24</v>
      </c>
      <c r="K14" s="7"/>
    </row>
    <row r="15" spans="2:13" x14ac:dyDescent="0.2">
      <c r="B15" s="12" t="str">
        <f>TableData[[#This Row],[ID SAMPLE]]</f>
        <v>ID SAMPLE</v>
      </c>
      <c r="C15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5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5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5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5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I15" s="6" t="s">
        <v>25</v>
      </c>
      <c r="J15" s="6" t="s">
        <v>26</v>
      </c>
      <c r="K15" s="4"/>
    </row>
    <row r="16" spans="2:13" x14ac:dyDescent="0.2">
      <c r="B16" s="12" t="str">
        <f>TableData[[#This Row],[ID SAMPLE]]</f>
        <v>ID SAMPLE</v>
      </c>
      <c r="C16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6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6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6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6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17" spans="2:8" x14ac:dyDescent="0.2">
      <c r="B17" s="12" t="str">
        <f>TableData[[#This Row],[ID SAMPLE]]</f>
        <v>ID SAMPLE</v>
      </c>
      <c r="C17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7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7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7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7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18" spans="2:8" x14ac:dyDescent="0.2">
      <c r="B18" s="12" t="str">
        <f>TableData[[#This Row],[ID SAMPLE]]</f>
        <v>ID SAMPLE</v>
      </c>
      <c r="C18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8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8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8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8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19" spans="2:8" x14ac:dyDescent="0.2">
      <c r="B19" s="12" t="str">
        <f>TableData[[#This Row],[ID SAMPLE]]</f>
        <v>ID SAMPLE</v>
      </c>
      <c r="C19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19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19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19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19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0" spans="2:8" x14ac:dyDescent="0.2">
      <c r="B20" s="12" t="str">
        <f>TableData[[#This Row],[ID SAMPLE]]</f>
        <v>ID SAMPLE</v>
      </c>
      <c r="C20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0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0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0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0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1" spans="2:8" x14ac:dyDescent="0.2">
      <c r="B21" s="12" t="str">
        <f>TableData[[#This Row],[ID SAMPLE]]</f>
        <v>ID SAMPLE</v>
      </c>
      <c r="C21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1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1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1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1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2" spans="2:8" x14ac:dyDescent="0.2">
      <c r="B22" s="12" t="str">
        <f>TableData[[#This Row],[ID SAMPLE]]</f>
        <v>ID SAMPLE</v>
      </c>
      <c r="C22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2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2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2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2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3" spans="2:8" x14ac:dyDescent="0.2">
      <c r="B23" s="12" t="str">
        <f>TableData[[#This Row],[ID SAMPLE]]</f>
        <v>ID SAMPLE</v>
      </c>
      <c r="C23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3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3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3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3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4" spans="2:8" x14ac:dyDescent="0.2">
      <c r="B24" s="12" t="str">
        <f>TableData[[#This Row],[ID SAMPLE]]</f>
        <v>ID SAMPLE</v>
      </c>
      <c r="C24" s="2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4" s="23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4" s="23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4" s="23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4" s="24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5" spans="2:8" x14ac:dyDescent="0.2">
      <c r="B25" s="33" t="str">
        <f>TableData[[#This Row],[ID SAMPLE]]</f>
        <v>ID SAMPLE</v>
      </c>
      <c r="C25" s="25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5" s="35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5" s="35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5" s="35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5" s="36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6" spans="2:8" x14ac:dyDescent="0.2">
      <c r="B26" s="34" t="str">
        <f>TableData[[#This Row],[ID SAMPLE]]</f>
        <v>ID SAMPLE</v>
      </c>
      <c r="C26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6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6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6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6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7" spans="2:8" x14ac:dyDescent="0.2">
      <c r="B27" s="34" t="str">
        <f>TableData[[#This Row],[ID SAMPLE]]</f>
        <v>ID SAMPLE</v>
      </c>
      <c r="C27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7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7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7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7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8" spans="2:8" x14ac:dyDescent="0.2">
      <c r="B28" s="34" t="str">
        <f>TableData[[#This Row],[ID SAMPLE]]</f>
        <v>ID SAMPLE</v>
      </c>
      <c r="C28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8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8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8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8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29" spans="2:8" x14ac:dyDescent="0.2">
      <c r="B29" s="34" t="str">
        <f>TableData[[#This Row],[ID SAMPLE]]</f>
        <v>ID SAMPLE</v>
      </c>
      <c r="C29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29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29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29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29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H29" s="1"/>
    </row>
    <row r="30" spans="2:8" x14ac:dyDescent="0.2">
      <c r="B30" s="34" t="str">
        <f>TableData[[#This Row],[ID SAMPLE]]</f>
        <v>ID SAMPLE</v>
      </c>
      <c r="C30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0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0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0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0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1" spans="2:8" x14ac:dyDescent="0.2">
      <c r="B31" s="34" t="str">
        <f>TableData[[#This Row],[ID SAMPLE]]</f>
        <v>ID SAMPLE</v>
      </c>
      <c r="C31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1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1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1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1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  <c r="H31" s="1"/>
    </row>
    <row r="32" spans="2:8" x14ac:dyDescent="0.2">
      <c r="B32" s="34" t="str">
        <f>TableData[[#This Row],[ID SAMPLE]]</f>
        <v>ID SAMPLE</v>
      </c>
      <c r="C32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2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2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2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2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3" spans="2:8" x14ac:dyDescent="0.2">
      <c r="B33" s="34" t="str">
        <f>TableData[[#This Row],[ID SAMPLE]]</f>
        <v>ID SAMPLE</v>
      </c>
      <c r="C33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3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3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3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3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4" spans="2:8" x14ac:dyDescent="0.2">
      <c r="B34" s="34" t="str">
        <f>TableData[[#This Row],[ID SAMPLE]]</f>
        <v>ID SAMPLE</v>
      </c>
      <c r="C34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4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4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4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4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5" spans="2:8" x14ac:dyDescent="0.2">
      <c r="B35" s="34" t="str">
        <f>TableData[[#This Row],[ID SAMPLE]]</f>
        <v>ID SAMPLE</v>
      </c>
      <c r="C35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5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5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5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5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6" spans="2:8" x14ac:dyDescent="0.2">
      <c r="B36" s="34" t="str">
        <f>TableData[[#This Row],[ID SAMPLE]]</f>
        <v>ID SAMPLE</v>
      </c>
      <c r="C36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6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6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6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6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7" spans="2:8" x14ac:dyDescent="0.2">
      <c r="B37" s="34" t="str">
        <f>TableData[[#This Row],[ID SAMPLE]]</f>
        <v>ID SAMPLE</v>
      </c>
      <c r="C37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7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7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7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7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8" spans="2:8" x14ac:dyDescent="0.2">
      <c r="B38" s="34" t="str">
        <f>TableData[[#This Row],[ID SAMPLE]]</f>
        <v>ID SAMPLE</v>
      </c>
      <c r="C38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8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8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8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8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39" spans="2:8" x14ac:dyDescent="0.2">
      <c r="B39" s="34" t="str">
        <f>TableData[[#This Row],[ID SAMPLE]]</f>
        <v>ID SAMPLE</v>
      </c>
      <c r="C39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39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39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39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39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40" spans="2:8" x14ac:dyDescent="0.2">
      <c r="B40" s="34" t="str">
        <f>TableData[[#This Row],[ID SAMPLE]]</f>
        <v>ID SAMPLE</v>
      </c>
      <c r="C40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40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40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40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40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41" spans="2:8" x14ac:dyDescent="0.2">
      <c r="B41" s="34" t="str">
        <f>TableData[[#This Row],[ID SAMPLE]]</f>
        <v>ID SAMPLE</v>
      </c>
      <c r="C41" s="32" t="e">
        <f>IF(((TableData[[#This Row],[Al]] - TableData[[#This Row],[Weight]]) * TableData[[#This Row],[Volume]] * TableData[[#This Row],[dF]] / (TableData[[#This Row],[Weight]]* 1000)) &lt; 0, "0.00", (TableData[[#This Row],[Al]] - Sheet2!$M$14) * TableData[[#This Row],[Volume]] * TableData[[#This Row],[dF]] / (TableData[[#This Row],[Weight]] * 1000)
)</f>
        <v>#DIV/0!</v>
      </c>
      <c r="D41" s="26" t="e">
        <f>IF(((TableData[[#This Row],[Pb]] - TableData[[#This Row],[Weight]]) * TableData[[#This Row],[Volume]] * TableData[[#This Row],[dF]] / (TableData[[#This Row],[Weight]]* 1000)) &lt; 0, "0.00", (TableData[[#This Row],[Pb]] -  Sheet2!$N$14) * TableData[[#This Row],[Volume]] * TableData[[#This Row],[dF]] / (TableData[[#This Row],[Weight]] * 1000)
)</f>
        <v>#DIV/0!</v>
      </c>
      <c r="E41" s="26" t="e">
        <f>IF(((TableData[[#This Row],[Cd]] - TableData[[#This Row],[Weight]]) * TableData[[#This Row],[Volume]] * TableData[[#This Row],[dF]] / (TableData[[#This Row],[Weight]]* 1000)) &lt; 0, "0.00", (TableData[[#This Row],[Cd]] -  Sheet2!$O$14) * TableData[[#This Row],[Volume]] * TableData[[#This Row],[dF]] / (TableData[[#This Row],[Weight]] * 1000)
)</f>
        <v>#DIV/0!</v>
      </c>
      <c r="F41" s="26" t="e">
        <f>IF(((TableData[[#This Row],[As]] - TableData[[#This Row],[Weight]]) * TableData[[#This Row],[Volume]] * TableData[[#This Row],[dF]] / (TableData[[#This Row],[Weight]]* 1000)) &lt; 0, "0.00", (TableData[[#This Row],[As]] -  Sheet2!$P$14) * TableData[[#This Row],[Volume]] * TableData[[#This Row],[dF]] / (TableData[[#This Row],[Weight]] * 1000)
)</f>
        <v>#DIV/0!</v>
      </c>
      <c r="G41" s="27" t="e">
        <f>IF(((TableData[[#This Row],[Hg]] - TableData[[#This Row],[Weight]]) * TableData[[#This Row],[Volume]] * TableData[[#This Row],[dF]] / (TableData[[#This Row],[Weight]]* 1000)) &lt; 0, "0.00", (TableData[[#This Row],[Hg]] -  Sheet2!$Q$14) * TableData[[#This Row],[Volume]] * TableData[[#This Row],[dF]] / (TableData[[#This Row],[Weight]] * 1000))</f>
        <v>#DIV/0!</v>
      </c>
    </row>
    <row r="42" spans="2:8" x14ac:dyDescent="0.2">
      <c r="B42" s="34"/>
      <c r="C42" s="32"/>
      <c r="D42" s="14"/>
      <c r="E42" s="14"/>
      <c r="F42" s="14"/>
      <c r="G42" s="15"/>
    </row>
    <row r="43" spans="2:8" x14ac:dyDescent="0.2">
      <c r="B43" s="34"/>
      <c r="C43" s="32"/>
      <c r="D43" s="14"/>
      <c r="E43" s="14"/>
      <c r="F43" s="14"/>
      <c r="G43" s="15"/>
    </row>
    <row r="44" spans="2:8" x14ac:dyDescent="0.2">
      <c r="B44" s="34"/>
      <c r="C44" s="32"/>
      <c r="D44" s="14"/>
      <c r="E44" s="14"/>
      <c r="F44" s="14"/>
      <c r="G44" s="15"/>
    </row>
    <row r="45" spans="2:8" x14ac:dyDescent="0.2">
      <c r="B45" s="1"/>
      <c r="C45" s="2"/>
      <c r="D45" s="3"/>
      <c r="E45" s="3"/>
      <c r="F45" s="2"/>
      <c r="G45" s="2"/>
      <c r="H45" s="1"/>
    </row>
    <row r="46" spans="2:8" x14ac:dyDescent="0.2">
      <c r="B46" s="3"/>
      <c r="C46" s="3"/>
      <c r="D46" s="1"/>
      <c r="E46" s="2"/>
      <c r="F46" s="2"/>
      <c r="G46" s="2"/>
      <c r="H46" s="2"/>
    </row>
    <row r="47" spans="2:8" x14ac:dyDescent="0.2">
      <c r="B47" s="3"/>
      <c r="C47" s="3"/>
      <c r="D47" s="1"/>
      <c r="E47" s="2"/>
      <c r="F47" s="2"/>
      <c r="G47" s="2"/>
      <c r="H47" s="2"/>
    </row>
    <row r="48" spans="2:8" x14ac:dyDescent="0.2">
      <c r="B48" s="3"/>
      <c r="C48" s="3"/>
      <c r="D48" s="1"/>
      <c r="E48" s="2"/>
      <c r="F48" s="2"/>
      <c r="G48" s="2"/>
      <c r="H48" s="2"/>
    </row>
    <row r="49" spans="2:7" x14ac:dyDescent="0.2">
      <c r="B49" s="3"/>
      <c r="C49" s="3"/>
      <c r="D49" s="1"/>
      <c r="E49" s="2"/>
      <c r="F49" s="2"/>
      <c r="G49" s="2"/>
    </row>
  </sheetData>
  <mergeCells count="2">
    <mergeCell ref="B3:G3"/>
    <mergeCell ref="I11:K1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E90F-9A4A-E648-8214-CCDDD2FEC65A}">
  <dimension ref="B3:R50"/>
  <sheetViews>
    <sheetView workbookViewId="0">
      <selection activeCell="K33" sqref="K33"/>
    </sheetView>
  </sheetViews>
  <sheetFormatPr baseColWidth="10" defaultRowHeight="16" x14ac:dyDescent="0.2"/>
  <cols>
    <col min="2" max="2" width="12.6640625" bestFit="1" customWidth="1"/>
    <col min="9" max="10" width="15.6640625" bestFit="1" customWidth="1"/>
    <col min="11" max="12" width="16" bestFit="1" customWidth="1"/>
    <col min="13" max="13" width="9.1640625" bestFit="1" customWidth="1"/>
    <col min="14" max="14" width="10.5" bestFit="1" customWidth="1"/>
  </cols>
  <sheetData>
    <row r="3" spans="2:18" x14ac:dyDescent="0.2">
      <c r="B3" s="30" t="s">
        <v>44</v>
      </c>
      <c r="C3" s="30"/>
      <c r="D3" s="30"/>
      <c r="E3" s="30"/>
      <c r="F3" s="30"/>
      <c r="G3" s="30"/>
      <c r="H3" s="30"/>
      <c r="I3" s="30"/>
      <c r="J3" s="30"/>
      <c r="K3" s="2"/>
      <c r="L3" s="31" t="s">
        <v>45</v>
      </c>
      <c r="M3" s="31"/>
      <c r="N3" s="31"/>
      <c r="O3" s="31"/>
      <c r="P3" s="31"/>
      <c r="Q3" s="31"/>
    </row>
    <row r="4" spans="2:18" x14ac:dyDescent="0.2">
      <c r="B4" s="18" t="s">
        <v>39</v>
      </c>
      <c r="C4" s="17" t="s">
        <v>16</v>
      </c>
      <c r="D4" s="17" t="s">
        <v>15</v>
      </c>
      <c r="E4" s="17" t="s">
        <v>13</v>
      </c>
      <c r="F4" s="17" t="s">
        <v>3</v>
      </c>
      <c r="G4" s="17" t="s">
        <v>14</v>
      </c>
      <c r="H4" s="17" t="s">
        <v>0</v>
      </c>
      <c r="I4" s="17" t="s">
        <v>1</v>
      </c>
      <c r="J4" s="17" t="s">
        <v>2</v>
      </c>
      <c r="L4" s="18" t="s">
        <v>40</v>
      </c>
      <c r="M4" s="16" t="s">
        <v>16</v>
      </c>
      <c r="N4" s="16" t="s">
        <v>15</v>
      </c>
      <c r="O4" s="16" t="s">
        <v>13</v>
      </c>
      <c r="P4" s="16" t="s">
        <v>3</v>
      </c>
      <c r="Q4" s="16" t="s">
        <v>14</v>
      </c>
    </row>
    <row r="5" spans="2:18" x14ac:dyDescent="0.2">
      <c r="B5" s="18"/>
      <c r="C5" s="18" t="s">
        <v>37</v>
      </c>
      <c r="D5" s="18" t="s">
        <v>37</v>
      </c>
      <c r="E5" s="18" t="s">
        <v>37</v>
      </c>
      <c r="F5" s="18" t="s">
        <v>37</v>
      </c>
      <c r="G5" s="18" t="s">
        <v>37</v>
      </c>
      <c r="H5" s="19" t="s">
        <v>5</v>
      </c>
      <c r="I5" s="19" t="s">
        <v>6</v>
      </c>
      <c r="J5" s="19" t="s">
        <v>6</v>
      </c>
      <c r="L5" s="18" t="s">
        <v>27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/>
    </row>
    <row r="6" spans="2:18" x14ac:dyDescent="0.2">
      <c r="B6" s="18" t="s">
        <v>39</v>
      </c>
      <c r="C6" s="21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19">
        <v>50</v>
      </c>
      <c r="J6" s="19">
        <v>1</v>
      </c>
      <c r="L6" s="3" t="s">
        <v>28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</row>
    <row r="7" spans="2:18" x14ac:dyDescent="0.2">
      <c r="B7" s="18" t="s">
        <v>39</v>
      </c>
      <c r="C7" s="21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19">
        <v>50</v>
      </c>
      <c r="J7" s="19">
        <v>1</v>
      </c>
      <c r="L7" s="3" t="s">
        <v>29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</row>
    <row r="8" spans="2:18" x14ac:dyDescent="0.2">
      <c r="B8" s="18" t="s">
        <v>39</v>
      </c>
      <c r="C8" s="21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19">
        <v>50</v>
      </c>
      <c r="J8" s="19">
        <v>1</v>
      </c>
      <c r="L8" s="3" t="s">
        <v>30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</row>
    <row r="9" spans="2:18" x14ac:dyDescent="0.2">
      <c r="B9" s="18" t="s">
        <v>39</v>
      </c>
      <c r="C9" s="21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19">
        <v>50</v>
      </c>
      <c r="J9" s="19">
        <v>1</v>
      </c>
      <c r="L9" s="3" t="s">
        <v>31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</row>
    <row r="10" spans="2:18" x14ac:dyDescent="0.2">
      <c r="B10" s="18" t="s">
        <v>39</v>
      </c>
      <c r="C10" s="21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19">
        <v>50</v>
      </c>
      <c r="J10" s="19">
        <v>1</v>
      </c>
      <c r="L10" s="3" t="s">
        <v>32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</row>
    <row r="11" spans="2:18" x14ac:dyDescent="0.2">
      <c r="B11" s="18" t="s">
        <v>39</v>
      </c>
      <c r="C11" s="21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19">
        <v>50</v>
      </c>
      <c r="J11" s="19">
        <v>1</v>
      </c>
      <c r="L11" s="3" t="s">
        <v>33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</row>
    <row r="12" spans="2:18" x14ac:dyDescent="0.2">
      <c r="B12" s="18" t="s">
        <v>39</v>
      </c>
      <c r="C12" s="21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19">
        <v>50</v>
      </c>
      <c r="J12" s="19">
        <v>1</v>
      </c>
      <c r="L12" s="3" t="s">
        <v>34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</row>
    <row r="13" spans="2:18" x14ac:dyDescent="0.2">
      <c r="B13" s="18" t="s">
        <v>39</v>
      </c>
      <c r="C13" s="21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19">
        <v>50</v>
      </c>
      <c r="J13" s="19">
        <v>1</v>
      </c>
      <c r="L13" s="3" t="s">
        <v>35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</row>
    <row r="14" spans="2:18" x14ac:dyDescent="0.2">
      <c r="B14" s="18" t="s">
        <v>39</v>
      </c>
      <c r="C14" s="21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9">
        <v>50</v>
      </c>
      <c r="J14" s="19">
        <v>1</v>
      </c>
      <c r="L14" s="18" t="s">
        <v>38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</row>
    <row r="15" spans="2:18" x14ac:dyDescent="0.2">
      <c r="B15" s="18" t="s">
        <v>39</v>
      </c>
      <c r="C15" s="21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9">
        <v>50</v>
      </c>
      <c r="J15" s="19">
        <v>1</v>
      </c>
      <c r="L15" s="18" t="s">
        <v>8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</row>
    <row r="16" spans="2:18" x14ac:dyDescent="0.2">
      <c r="B16" s="18" t="s">
        <v>39</v>
      </c>
      <c r="C16" s="21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9">
        <v>50</v>
      </c>
      <c r="J16" s="19">
        <v>1</v>
      </c>
      <c r="L16" s="18" t="s">
        <v>36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</row>
    <row r="17" spans="2:18" x14ac:dyDescent="0.2">
      <c r="B17" s="18" t="s">
        <v>39</v>
      </c>
      <c r="C17" s="21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9">
        <v>50</v>
      </c>
      <c r="J17" s="19">
        <v>1</v>
      </c>
    </row>
    <row r="18" spans="2:18" x14ac:dyDescent="0.2">
      <c r="B18" s="18" t="s">
        <v>39</v>
      </c>
      <c r="C18" s="21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9">
        <v>50</v>
      </c>
      <c r="J18" s="19">
        <v>1</v>
      </c>
      <c r="L18" s="3" t="s">
        <v>41</v>
      </c>
      <c r="M18" s="3" t="s">
        <v>42</v>
      </c>
      <c r="N18" s="1" t="s">
        <v>43</v>
      </c>
      <c r="P18" s="3" t="s">
        <v>41</v>
      </c>
      <c r="Q18" s="3" t="s">
        <v>42</v>
      </c>
      <c r="R18" s="1" t="s">
        <v>43</v>
      </c>
    </row>
    <row r="19" spans="2:18" x14ac:dyDescent="0.2">
      <c r="B19" s="18" t="s">
        <v>39</v>
      </c>
      <c r="C19" s="21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19">
        <v>50</v>
      </c>
      <c r="J19" s="19">
        <v>1</v>
      </c>
      <c r="L19" s="3" t="s">
        <v>9</v>
      </c>
      <c r="M19" s="3">
        <v>50</v>
      </c>
      <c r="N19" s="1" t="s">
        <v>7</v>
      </c>
      <c r="P19" s="3" t="s">
        <v>9</v>
      </c>
      <c r="Q19" s="3">
        <v>500</v>
      </c>
      <c r="R19" s="1" t="s">
        <v>7</v>
      </c>
    </row>
    <row r="20" spans="2:18" x14ac:dyDescent="0.2">
      <c r="B20" s="18" t="s">
        <v>39</v>
      </c>
      <c r="C20" s="21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9">
        <v>50</v>
      </c>
      <c r="J20" s="19">
        <v>1</v>
      </c>
      <c r="L20" s="3" t="s">
        <v>10</v>
      </c>
      <c r="M20" s="3">
        <v>50</v>
      </c>
      <c r="N20" s="1" t="s">
        <v>7</v>
      </c>
      <c r="P20" s="3" t="s">
        <v>10</v>
      </c>
      <c r="Q20" s="3">
        <v>500</v>
      </c>
      <c r="R20" s="1" t="s">
        <v>7</v>
      </c>
    </row>
    <row r="21" spans="2:18" x14ac:dyDescent="0.2">
      <c r="B21" s="18" t="s">
        <v>39</v>
      </c>
      <c r="C21" s="21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19">
        <v>50</v>
      </c>
      <c r="J21" s="19">
        <v>1</v>
      </c>
      <c r="L21" s="3" t="s">
        <v>11</v>
      </c>
      <c r="M21" s="3">
        <v>0</v>
      </c>
      <c r="N21" s="1" t="s">
        <v>52</v>
      </c>
      <c r="P21" s="3" t="s">
        <v>11</v>
      </c>
      <c r="Q21" s="3">
        <v>0</v>
      </c>
      <c r="R21" s="1" t="s">
        <v>52</v>
      </c>
    </row>
    <row r="22" spans="2:18" x14ac:dyDescent="0.2">
      <c r="B22" s="18" t="s">
        <v>39</v>
      </c>
      <c r="C22" s="21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9">
        <v>50</v>
      </c>
      <c r="J22" s="19">
        <v>1</v>
      </c>
      <c r="L22" s="3" t="s">
        <v>12</v>
      </c>
      <c r="M22" s="3">
        <f>$J$6*10</f>
        <v>10</v>
      </c>
      <c r="N22" s="1" t="s">
        <v>52</v>
      </c>
      <c r="P22" s="3" t="s">
        <v>12</v>
      </c>
      <c r="Q22" s="3">
        <f>$J$6*10</f>
        <v>10</v>
      </c>
      <c r="R22" s="1" t="s">
        <v>52</v>
      </c>
    </row>
    <row r="23" spans="2:18" x14ac:dyDescent="0.2">
      <c r="B23" s="18" t="s">
        <v>39</v>
      </c>
      <c r="C23" s="21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9">
        <v>50</v>
      </c>
      <c r="J23" s="19">
        <v>1</v>
      </c>
    </row>
    <row r="24" spans="2:18" x14ac:dyDescent="0.2">
      <c r="B24" s="18" t="s">
        <v>39</v>
      </c>
      <c r="C24" s="21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19">
        <v>50</v>
      </c>
      <c r="J24" s="19">
        <v>1</v>
      </c>
    </row>
    <row r="25" spans="2:18" x14ac:dyDescent="0.2">
      <c r="B25" s="18" t="s">
        <v>39</v>
      </c>
      <c r="C25" s="21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9">
        <v>50</v>
      </c>
      <c r="J25" s="19">
        <v>1</v>
      </c>
    </row>
    <row r="26" spans="2:18" x14ac:dyDescent="0.2">
      <c r="B26" s="18" t="s">
        <v>39</v>
      </c>
      <c r="C26" s="21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19">
        <v>50</v>
      </c>
      <c r="J26" s="19">
        <v>1</v>
      </c>
      <c r="M26" s="2"/>
      <c r="N26" s="2"/>
      <c r="O26" s="2"/>
      <c r="P26" s="2"/>
    </row>
    <row r="27" spans="2:18" x14ac:dyDescent="0.2">
      <c r="B27" s="18" t="s">
        <v>39</v>
      </c>
      <c r="C27" s="21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9">
        <v>50</v>
      </c>
      <c r="J27" s="19">
        <v>1</v>
      </c>
      <c r="M27" s="2"/>
      <c r="N27" s="2"/>
      <c r="O27" s="2"/>
      <c r="P27" s="2"/>
    </row>
    <row r="28" spans="2:18" x14ac:dyDescent="0.2">
      <c r="B28" s="18" t="s">
        <v>39</v>
      </c>
      <c r="C28" s="21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9">
        <v>50</v>
      </c>
      <c r="J28" s="19">
        <v>1</v>
      </c>
      <c r="M28" s="2"/>
      <c r="N28" s="2"/>
      <c r="O28" s="2"/>
      <c r="P28" s="2"/>
    </row>
    <row r="29" spans="2:18" x14ac:dyDescent="0.2">
      <c r="B29" s="18" t="s">
        <v>39</v>
      </c>
      <c r="C29" s="21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19">
        <v>50</v>
      </c>
      <c r="J29" s="19">
        <v>1</v>
      </c>
      <c r="K29" s="2"/>
      <c r="M29" s="2"/>
      <c r="N29" s="2"/>
      <c r="O29" s="2"/>
      <c r="P29" s="2"/>
    </row>
    <row r="30" spans="2:18" x14ac:dyDescent="0.2">
      <c r="B30" s="18" t="s">
        <v>39</v>
      </c>
      <c r="C30" s="21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19">
        <v>50</v>
      </c>
      <c r="J30" s="19">
        <v>1</v>
      </c>
      <c r="K30" s="2"/>
      <c r="M30" s="42"/>
      <c r="N30" s="43"/>
      <c r="O30" s="43"/>
      <c r="P30" s="43"/>
      <c r="Q30" s="43"/>
    </row>
    <row r="31" spans="2:18" x14ac:dyDescent="0.2">
      <c r="B31" s="18" t="s">
        <v>39</v>
      </c>
      <c r="C31" s="21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19">
        <v>50</v>
      </c>
      <c r="J31" s="19">
        <v>1</v>
      </c>
      <c r="K31" s="2"/>
      <c r="L31" s="2"/>
      <c r="M31" s="43"/>
      <c r="N31" s="43"/>
      <c r="O31" s="43"/>
      <c r="P31" s="43"/>
      <c r="Q31" s="43"/>
    </row>
    <row r="32" spans="2:18" x14ac:dyDescent="0.2">
      <c r="B32" s="18" t="s">
        <v>39</v>
      </c>
      <c r="C32" s="21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19">
        <v>50</v>
      </c>
      <c r="J32" s="19">
        <v>1</v>
      </c>
      <c r="L32" s="2"/>
      <c r="M32" s="2"/>
      <c r="N32" s="2"/>
      <c r="O32" s="2"/>
      <c r="P32" s="2"/>
    </row>
    <row r="33" spans="2:16" x14ac:dyDescent="0.2">
      <c r="B33" s="18" t="s">
        <v>39</v>
      </c>
      <c r="C33" s="21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19">
        <v>50</v>
      </c>
      <c r="J33" s="19">
        <v>1</v>
      </c>
      <c r="L33" s="2"/>
      <c r="M33" s="2"/>
      <c r="N33" s="2"/>
      <c r="P33" s="3"/>
    </row>
    <row r="34" spans="2:16" x14ac:dyDescent="0.2">
      <c r="B34" s="18" t="s">
        <v>39</v>
      </c>
      <c r="C34" s="21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19">
        <v>50</v>
      </c>
      <c r="J34" s="19">
        <v>1</v>
      </c>
      <c r="N34" s="2"/>
      <c r="P34" s="3"/>
    </row>
    <row r="35" spans="2:16" x14ac:dyDescent="0.2">
      <c r="B35" s="18" t="s">
        <v>39</v>
      </c>
      <c r="C35" s="21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19">
        <v>50</v>
      </c>
      <c r="J35" s="19">
        <v>1</v>
      </c>
      <c r="N35" s="2"/>
      <c r="O35" s="2"/>
      <c r="P35" s="3"/>
    </row>
    <row r="36" spans="2:16" x14ac:dyDescent="0.2">
      <c r="B36" s="18" t="s">
        <v>39</v>
      </c>
      <c r="C36" s="21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19">
        <v>50</v>
      </c>
      <c r="J36" s="19">
        <v>1</v>
      </c>
      <c r="N36" s="2"/>
      <c r="O36" s="2"/>
      <c r="P36" s="3"/>
    </row>
    <row r="37" spans="2:16" x14ac:dyDescent="0.2">
      <c r="B37" s="18" t="s">
        <v>39</v>
      </c>
      <c r="C37" s="21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19">
        <v>50</v>
      </c>
      <c r="J37" s="19">
        <v>1</v>
      </c>
      <c r="N37" s="2"/>
      <c r="O37" s="2"/>
      <c r="P37" s="3"/>
    </row>
    <row r="38" spans="2:16" x14ac:dyDescent="0.2">
      <c r="B38" s="18" t="s">
        <v>39</v>
      </c>
      <c r="C38" s="21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19">
        <v>50</v>
      </c>
      <c r="J38" s="19">
        <v>1</v>
      </c>
      <c r="N38" s="2"/>
      <c r="O38" s="2"/>
      <c r="P38" s="3"/>
    </row>
    <row r="39" spans="2:16" x14ac:dyDescent="0.2">
      <c r="B39" s="18" t="s">
        <v>39</v>
      </c>
      <c r="C39" s="21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19">
        <v>50</v>
      </c>
      <c r="J39" s="19">
        <v>1</v>
      </c>
      <c r="N39" s="2"/>
      <c r="O39" s="2"/>
      <c r="P39" s="3"/>
    </row>
    <row r="40" spans="2:16" x14ac:dyDescent="0.2">
      <c r="B40" s="18" t="s">
        <v>39</v>
      </c>
      <c r="C40" s="21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19">
        <v>50</v>
      </c>
      <c r="J40" s="19">
        <v>1</v>
      </c>
      <c r="N40" s="2"/>
      <c r="O40" s="2"/>
      <c r="P40" s="3"/>
    </row>
    <row r="41" spans="2:16" x14ac:dyDescent="0.2">
      <c r="B41" s="18" t="s">
        <v>39</v>
      </c>
      <c r="C41" s="21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19">
        <v>50</v>
      </c>
      <c r="J41" s="19">
        <v>1</v>
      </c>
      <c r="N41" s="2"/>
      <c r="O41" s="2"/>
      <c r="P41" s="3"/>
    </row>
    <row r="42" spans="2:16" x14ac:dyDescent="0.2">
      <c r="N42" s="2"/>
      <c r="O42" s="2"/>
      <c r="P42" s="3"/>
    </row>
    <row r="43" spans="2:16" x14ac:dyDescent="0.2">
      <c r="L43" s="2"/>
      <c r="M43" s="2"/>
      <c r="N43" s="2"/>
      <c r="O43" s="2"/>
      <c r="P43" s="3"/>
    </row>
    <row r="44" spans="2:16" x14ac:dyDescent="0.2">
      <c r="L44" s="2"/>
      <c r="M44" s="2"/>
      <c r="N44" s="2"/>
      <c r="P44" s="3"/>
    </row>
    <row r="45" spans="2:16" x14ac:dyDescent="0.2">
      <c r="L45" s="2"/>
      <c r="M45" s="2"/>
      <c r="N45" s="2"/>
      <c r="P45" s="3"/>
    </row>
    <row r="46" spans="2:16" x14ac:dyDescent="0.2">
      <c r="P46" s="3"/>
    </row>
    <row r="47" spans="2:16" x14ac:dyDescent="0.2">
      <c r="P47" s="3"/>
    </row>
    <row r="48" spans="2:16" x14ac:dyDescent="0.2">
      <c r="P48" s="3"/>
    </row>
    <row r="49" spans="16:16" x14ac:dyDescent="0.2">
      <c r="P49" s="3"/>
    </row>
    <row r="50" spans="16:16" x14ac:dyDescent="0.2">
      <c r="P50" s="3"/>
    </row>
  </sheetData>
  <mergeCells count="2">
    <mergeCell ref="B3:J3"/>
    <mergeCell ref="L3:Q3"/>
  </mergeCells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UNNES</dc:creator>
  <cp:lastModifiedBy>Kai UNNES</cp:lastModifiedBy>
  <dcterms:created xsi:type="dcterms:W3CDTF">2025-12-04T00:55:05Z</dcterms:created>
  <dcterms:modified xsi:type="dcterms:W3CDTF">2025-12-04T03:22:33Z</dcterms:modified>
</cp:coreProperties>
</file>