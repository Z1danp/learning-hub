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Times New Roman"/>
      <family val="1"/>
      <b val="1"/>
      <color theme="1"/>
      <sz val="10"/>
    </font>
    <font>
      <name val="Aptos Narrow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00"/>
      <sz val="10"/>
    </font>
    <font>
      <name val="Aptos Narrow"/>
      <b val="1"/>
      <color theme="1"/>
      <sz val="12"/>
      <scheme val="minor"/>
    </font>
    <font>
      <name val="Times New Roman"/>
      <family val="1"/>
      <b val="1"/>
      <color theme="0"/>
      <sz val="12"/>
    </font>
    <font>
      <name val="Aptos Narrow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pivotButton="0" quotePrefix="0" xfId="0"/>
    <xf numFmtId="0" fontId="6" fillId="0" borderId="3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6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4" fontId="3" fillId="0" borderId="0" pivotButton="0" quotePrefix="0" xfId="0"/>
    <xf numFmtId="164" fontId="10" fillId="0" borderId="0" pivotButton="0" quotePrefix="0" xfId="0"/>
    <xf numFmtId="164" fontId="7" fillId="0" borderId="12" applyAlignment="1" pivotButton="0" quotePrefix="0" xfId="0">
      <alignment horizontal="center"/>
    </xf>
    <xf numFmtId="164" fontId="7" fillId="0" borderId="6" applyAlignment="1" pivotButton="0" quotePrefix="0" xfId="0">
      <alignment horizontal="center"/>
    </xf>
    <xf numFmtId="164" fontId="7" fillId="0" borderId="15" applyAlignment="1" pivotButton="0" quotePrefix="0" xfId="0">
      <alignment horizontal="center"/>
    </xf>
    <xf numFmtId="2" fontId="7" fillId="0" borderId="12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7" fillId="0" borderId="15" applyAlignment="1" pivotButton="0" quotePrefix="0" xfId="0">
      <alignment horizontal="center"/>
    </xf>
    <xf numFmtId="0" fontId="6" fillId="3" borderId="14" applyAlignment="1" pivotButton="0" quotePrefix="0" xfId="0">
      <alignment horizontal="center"/>
    </xf>
    <xf numFmtId="0" fontId="6" fillId="3" borderId="1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0" fontId="8" fillId="0" borderId="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" fontId="7" fillId="0" borderId="5" applyAlignment="1" pivotButton="0" quotePrefix="0" xfId="0">
      <alignment horizontal="center"/>
    </xf>
    <xf numFmtId="2" fontId="7" fillId="0" borderId="13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164" fontId="7" fillId="0" borderId="6" applyAlignment="1" pivotButton="0" quotePrefix="0" xfId="0">
      <alignment horizontal="center"/>
    </xf>
    <xf numFmtId="164" fontId="7" fillId="0" borderId="1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164" fontId="3" fillId="0" borderId="0" pivotButton="0" quotePrefix="0" xfId="0"/>
    <xf numFmtId="164" fontId="10" fillId="0" borderId="0" pivotButton="0" quotePrefix="0" xfId="0"/>
  </cellXfs>
  <cellStyles count="1">
    <cellStyle name="Normal" xfId="0" builtinId="0"/>
  </cellStyles>
  <dxfs count="41"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0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family val="1"/>
        <strike val="0"/>
        <outline val="0"/>
        <shadow val="0"/>
        <vertAlign val="baseline"/>
      </font>
      <numFmt numFmtId="175" formatCode="0.000"/>
    </dxf>
    <dxf>
      <font>
        <name val="Times New Roman"/>
        <family val="1"/>
        <strike val="0"/>
        <outline val="0"/>
        <shadow val="0"/>
        <vertAlign val="baseline"/>
      </font>
      <numFmt numFmtId="175" formatCode="0.000"/>
    </dxf>
    <dxf>
      <font>
        <name val="Times New Roman"/>
        <family val="1"/>
        <strike val="0"/>
        <outline val="0"/>
        <shadow val="0"/>
        <vertAlign val="baseline"/>
      </font>
      <numFmt numFmtId="175" formatCode="0.000"/>
    </dxf>
    <dxf>
      <font>
        <name val="Times New Roman"/>
        <family val="1"/>
        <strike val="0"/>
        <outline val="0"/>
        <shadow val="0"/>
        <vertAlign val="baseline"/>
      </font>
      <numFmt numFmtId="175" formatCode="0.000"/>
    </dxf>
    <dxf>
      <font>
        <name val="Times New Roman"/>
        <family val="1"/>
        <strike val="0"/>
        <outline val="0"/>
        <shadow val="0"/>
        <vertAlign val="baseline"/>
      </font>
      <numFmt numFmtId="175" formatCode="0.000"/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b val="1"/>
        <strike val="0"/>
        <outline val="0"/>
        <shadow val="0"/>
        <condense val="0"/>
        <color theme="0"/>
        <extend val="0"/>
        <sz val="12"/>
        <vertAlign val="baseline"/>
      </font>
      <fill>
        <patternFill patternType="solid">
          <fgColor theme="4"/>
          <bgColor theme="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center" vertical="bottom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alignment horizontal="general" vertical="center"/>
      <border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C4:G41" headerRowCount="1" totalsRowShown="0" headerRowDxfId="37" dataDxfId="36" headerRowBorderDxfId="34" tableBorderDxfId="35" totalsRowBorderDxfId="33">
  <autoFilter ref="C4:G41"/>
  <tableColumns count="5">
    <tableColumn id="1" name="Al" dataDxfId="28">
      <calculatedColumnFormula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calculatedColumnFormula>
    </tableColumn>
    <tableColumn id="2" name="Pb" dataDxfId="27">
      <calculatedColumnFormula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calculatedColumnFormula>
    </tableColumn>
    <tableColumn id="3" name="Cd" dataDxfId="26">
      <calculatedColumnFormula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calculatedColumnFormula>
    </tableColumn>
    <tableColumn id="4" name="As" dataDxfId="25">
      <calculatedColumnFormula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calculatedColumnFormula>
    </tableColumn>
    <tableColumn id="5" name="Hg" dataDxfId="24">
      <calculatedColumnFormula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Result" displayName="TableResult" ref="B4:B41" headerRowCount="1" totalsRowShown="0" headerRowDxfId="32" dataDxfId="31" tableBorderDxfId="30">
  <autoFilter ref="B4:B41"/>
  <tableColumns count="1">
    <tableColumn id="1" name="Sample ID" dataDxfId="29">
      <calculatedColumnFormula>TableData[[#This Row],[ID SAMPLE]]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Data" displayName="TableData" ref="B4:J41" headerRowCount="1" insertRowShift="1" totalsRowShown="0" headerRowDxfId="12" dataDxfId="11" headerRowBorderDxfId="9" tableBorderDxfId="10">
  <autoFilter ref="B4:J41"/>
  <tableColumns count="9">
    <tableColumn id="7" name="ID SAMPLE" dataDxfId="8"/>
    <tableColumn id="1" name="Al" dataDxfId="7"/>
    <tableColumn id="2" name="Pb" dataDxfId="6"/>
    <tableColumn id="3" name="Cd" dataDxfId="5"/>
    <tableColumn id="4" name="As" dataDxfId="4"/>
    <tableColumn id="5" name="Hg" dataDxfId="3"/>
    <tableColumn id="8" name="Weight" dataDxfId="2"/>
    <tableColumn id="9" name="Volume" dataDxfId="1"/>
    <tableColumn id="10" name="dF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Standard" displayName="TableStandard" ref="L4:Q16" headerRowCount="1" totalsRowShown="0" headerRowDxfId="20" dataDxfId="19">
  <autoFilter ref="L4:Q16"/>
  <tableColumns count="6">
    <tableColumn id="1" name="Standard" dataDxfId="18"/>
    <tableColumn id="2" name="Al" dataDxfId="17"/>
    <tableColumn id="3" name="Pb" dataDxfId="16"/>
    <tableColumn id="4" name="Cd" dataDxfId="15"/>
    <tableColumn id="5" name="As" dataDxfId="14"/>
    <tableColumn id="6" name="Hg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8" displayName="Table8" ref="L18:N22" headerRowCount="1" totalsRowShown="0">
  <autoFilter ref="L18:N22"/>
  <tableColumns count="3">
    <tableColumn id="1" name="Cek STD" dataDxfId="40"/>
    <tableColumn id="2" name="Conc." dataDxfId="39"/>
    <tableColumn id="3" name="Unit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810" displayName="Table810" ref="P18:R22" headerRowCount="1" totalsRowShown="0">
  <autoFilter ref="P18:R22"/>
  <tableColumns count="3">
    <tableColumn id="1" name="Cek STD" dataDxfId="23"/>
    <tableColumn id="2" name="Conc." dataDxfId="22"/>
    <tableColumn id="3" name="Unit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49"/>
  <sheetViews>
    <sheetView tabSelected="1" topLeftCell="D1" zoomScale="150" zoomScaleNormal="50" workbookViewId="0">
      <selection activeCell="M10" sqref="M10"/>
    </sheetView>
  </sheetViews>
  <sheetFormatPr baseColWidth="10" defaultRowHeight="16"/>
  <cols>
    <col width="12" bestFit="1" customWidth="1" style="43" min="2" max="2"/>
    <col width="12.33203125" bestFit="1" customWidth="1" style="43" min="8" max="8"/>
    <col width="25.83203125" bestFit="1" customWidth="1" style="43" min="9" max="9"/>
    <col width="13.1640625" bestFit="1" customWidth="1" style="43" min="10" max="10"/>
    <col width="12.83203125" bestFit="1" customWidth="1" style="43" min="11" max="11"/>
    <col width="12.5" bestFit="1" customWidth="1" style="43" min="12" max="12"/>
    <col width="26" bestFit="1" customWidth="1" style="43" min="13" max="13"/>
    <col width="8.5" bestFit="1" customWidth="1" style="43" min="14" max="14"/>
  </cols>
  <sheetData>
    <row r="3">
      <c r="B3" s="29" t="inlineStr">
        <is>
          <t>Result</t>
        </is>
      </c>
      <c r="C3" s="44" t="n"/>
      <c r="D3" s="44" t="n"/>
      <c r="E3" s="44" t="n"/>
      <c r="F3" s="44" t="n"/>
      <c r="G3" s="45" t="n"/>
    </row>
    <row r="4">
      <c r="B4" s="13" t="inlineStr">
        <is>
          <t>Sample ID</t>
        </is>
      </c>
      <c r="C4" s="9" t="inlineStr">
        <is>
          <t>Al</t>
        </is>
      </c>
      <c r="D4" s="8" t="inlineStr">
        <is>
          <t>Pb</t>
        </is>
      </c>
      <c r="E4" s="8" t="inlineStr">
        <is>
          <t>Cd</t>
        </is>
      </c>
      <c r="F4" s="8" t="inlineStr">
        <is>
          <t>As</t>
        </is>
      </c>
      <c r="G4" s="10" t="inlineStr">
        <is>
          <t>Hg</t>
        </is>
      </c>
      <c r="I4" s="5" t="inlineStr">
        <is>
          <t>Rec. Al %</t>
        </is>
      </c>
      <c r="J4" s="5" t="inlineStr">
        <is>
          <t>Rec. Pb %</t>
        </is>
      </c>
      <c r="K4" s="5" t="inlineStr">
        <is>
          <t>Rec. Cd %</t>
        </is>
      </c>
      <c r="L4" s="5" t="inlineStr">
        <is>
          <t>Rec. As %</t>
        </is>
      </c>
      <c r="M4" s="5" t="inlineStr">
        <is>
          <t>Rec Hg %</t>
        </is>
      </c>
    </row>
    <row r="5">
      <c r="B5" s="11" t="n"/>
      <c r="C5" s="35" t="inlineStr">
        <is>
          <t>mg/kg</t>
        </is>
      </c>
      <c r="D5" s="35" t="inlineStr">
        <is>
          <t>mg/kg</t>
        </is>
      </c>
      <c r="E5" s="35" t="inlineStr">
        <is>
          <t>mg/kg</t>
        </is>
      </c>
      <c r="F5" s="35" t="inlineStr">
        <is>
          <t>mg/kg</t>
        </is>
      </c>
      <c r="G5" s="35" t="inlineStr">
        <is>
          <t>mg/kg</t>
        </is>
      </c>
      <c r="I5" s="46">
        <f>(Sheet2!M16/Sheet2!$Q$19)*100</f>
        <v/>
      </c>
      <c r="J5" s="46">
        <f>(Sheet2!N16/Sheet2!$M$19)*100</f>
        <v/>
      </c>
      <c r="K5" s="46">
        <f>(Sheet2!O16/Sheet2!$M$19)*100</f>
        <v/>
      </c>
      <c r="L5" s="46">
        <f>(Sheet2!P16/Sheet2!$M$19)*100</f>
        <v/>
      </c>
      <c r="M5" s="46">
        <f>(Sheet2!Q16/200)*100</f>
        <v/>
      </c>
    </row>
    <row r="6">
      <c r="B6" s="34">
        <f>TableData[[#This Row],[ID SAMPLE]]</f>
        <v/>
      </c>
      <c r="C6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6" s="47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6" s="47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6" s="47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6" s="4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6" s="46">
        <f>(Sheet2!M$16/Sheet2!$Q$19)*100</f>
        <v/>
      </c>
      <c r="J6" s="38">
        <f>(Sheet2!N$16/Sheet2!$M$19)*10</f>
        <v/>
      </c>
      <c r="K6" s="38">
        <f>(Sheet2!O$16/Sheet2!$M$19)*10</f>
        <v/>
      </c>
      <c r="L6" s="38">
        <f>(Sheet2!P$16/Sheet2!$M$19)*10</f>
        <v/>
      </c>
      <c r="M6" s="38">
        <f>(Sheet2!Q$16/Sheet2!$M$19)*10</f>
        <v/>
      </c>
    </row>
    <row r="7">
      <c r="B7" s="34">
        <f>TableData[[#This Row],[ID SAMPLE]]</f>
        <v/>
      </c>
      <c r="C7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7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7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7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7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8">
      <c r="B8" s="34">
        <f>TableData[[#This Row],[ID SAMPLE]]</f>
        <v/>
      </c>
      <c r="C8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8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8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8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8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9">
      <c r="B9" s="34">
        <f>TableData[[#This Row],[ID SAMPLE]]</f>
        <v/>
      </c>
      <c r="C9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9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9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9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9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10">
      <c r="B10" s="34">
        <f>TableData[[#This Row],[ID SAMPLE]]</f>
        <v/>
      </c>
      <c r="C10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0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0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0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0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11">
      <c r="B11" s="34">
        <f>TableData[[#This Row],[ID SAMPLE]]</f>
        <v/>
      </c>
      <c r="C11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1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1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1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1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11" s="50" t="inlineStr">
        <is>
          <t>QC CRITERIA CHECK</t>
        </is>
      </c>
      <c r="J11" s="51" t="n"/>
      <c r="K11" s="52" t="n"/>
    </row>
    <row r="12">
      <c r="B12" s="34">
        <f>TableData[[#This Row],[ID SAMPLE]]</f>
        <v/>
      </c>
      <c r="C12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2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2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2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2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12" s="6" t="inlineStr">
        <is>
          <t>Calibration Curve</t>
        </is>
      </c>
      <c r="J12" s="6" t="inlineStr">
        <is>
          <t>r ≥ 0.995</t>
        </is>
      </c>
      <c r="K12" s="7" t="n"/>
    </row>
    <row r="13">
      <c r="B13" s="34">
        <f>TableData[[#This Row],[ID SAMPLE]]</f>
        <v/>
      </c>
      <c r="C13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3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3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3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3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13" s="6" t="inlineStr">
        <is>
          <t>Calibration Standar Check Recovery</t>
        </is>
      </c>
      <c r="J13" s="6" t="inlineStr">
        <is>
          <t>100 ± 10%</t>
        </is>
      </c>
      <c r="K13" s="7" t="n"/>
    </row>
    <row r="14">
      <c r="B14" s="34">
        <f>TableData[[#This Row],[ID SAMPLE]]</f>
        <v/>
      </c>
      <c r="C14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4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4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4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4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14" s="6" t="inlineStr">
        <is>
          <t>Sample &amp; QC Spike Recovery</t>
        </is>
      </c>
      <c r="J14" s="6" t="inlineStr">
        <is>
          <t>60-115%</t>
        </is>
      </c>
      <c r="K14" s="7" t="n"/>
    </row>
    <row r="15">
      <c r="B15" s="34">
        <f>TableData[[#This Row],[ID SAMPLE]]</f>
        <v/>
      </c>
      <c r="C15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5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5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5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5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I15" s="6" t="inlineStr">
        <is>
          <t>RPD</t>
        </is>
      </c>
      <c r="J15" s="6" t="inlineStr">
        <is>
          <t>≤ 25%</t>
        </is>
      </c>
      <c r="K15" s="4" t="n"/>
    </row>
    <row r="16">
      <c r="B16" s="34">
        <f>TableData[[#This Row],[ID SAMPLE]]</f>
        <v/>
      </c>
      <c r="C16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6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6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6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6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17">
      <c r="B17" s="34">
        <f>TableData[[#This Row],[ID SAMPLE]]</f>
        <v/>
      </c>
      <c r="C17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7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7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7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7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18">
      <c r="B18" s="34">
        <f>TableData[[#This Row],[ID SAMPLE]]</f>
        <v/>
      </c>
      <c r="C18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8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8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8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8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19">
      <c r="B19" s="34">
        <f>TableData[[#This Row],[ID SAMPLE]]</f>
        <v/>
      </c>
      <c r="C19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19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19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19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19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0">
      <c r="B20" s="34">
        <f>TableData[[#This Row],[ID SAMPLE]]</f>
        <v/>
      </c>
      <c r="C20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0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0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0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0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1">
      <c r="B21" s="34">
        <f>TableData[[#This Row],[ID SAMPLE]]</f>
        <v/>
      </c>
      <c r="C21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1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1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1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1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2">
      <c r="B22" s="34">
        <f>TableData[[#This Row],[ID SAMPLE]]</f>
        <v/>
      </c>
      <c r="C22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2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2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2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2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3">
      <c r="B23" s="34">
        <f>TableData[[#This Row],[ID SAMPLE]]</f>
        <v/>
      </c>
      <c r="C23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3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3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3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3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4">
      <c r="B24" s="34">
        <f>TableData[[#This Row],[ID SAMPLE]]</f>
        <v/>
      </c>
      <c r="C24" s="47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4" s="48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4" s="48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4" s="48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4" s="49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5">
      <c r="B25" s="33">
        <f>TableData[[#This Row],[ID SAMPLE]]</f>
        <v/>
      </c>
      <c r="C25" s="25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5" s="35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5" s="35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5" s="35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5" s="36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6">
      <c r="B26" s="34">
        <f>TableData[[#This Row],[ID SAMPLE]]</f>
        <v/>
      </c>
      <c r="C26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6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6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6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6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7">
      <c r="B27" s="34">
        <f>TableData[[#This Row],[ID SAMPLE]]</f>
        <v/>
      </c>
      <c r="C27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7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7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7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7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8">
      <c r="B28" s="34">
        <f>TableData[[#This Row],[ID SAMPLE]]</f>
        <v/>
      </c>
      <c r="C28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8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8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8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8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29">
      <c r="B29" s="34">
        <f>TableData[[#This Row],[ID SAMPLE]]</f>
        <v/>
      </c>
      <c r="C29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29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29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29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29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H29" s="1" t="n"/>
    </row>
    <row r="30">
      <c r="B30" s="34">
        <f>TableData[[#This Row],[ID SAMPLE]]</f>
        <v/>
      </c>
      <c r="C30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0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0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0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0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1">
      <c r="B31" s="34">
        <f>TableData[[#This Row],[ID SAMPLE]]</f>
        <v/>
      </c>
      <c r="C31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1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1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1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1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  <c r="H31" s="1" t="n"/>
    </row>
    <row r="32">
      <c r="B32" s="34">
        <f>TableData[[#This Row],[ID SAMPLE]]</f>
        <v/>
      </c>
      <c r="C32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2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2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2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2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3">
      <c r="B33" s="34">
        <f>TableData[[#This Row],[ID SAMPLE]]</f>
        <v/>
      </c>
      <c r="C33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3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3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3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3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4">
      <c r="B34" s="34">
        <f>TableData[[#This Row],[ID SAMPLE]]</f>
        <v/>
      </c>
      <c r="C34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4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4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4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4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5">
      <c r="B35" s="34">
        <f>TableData[[#This Row],[ID SAMPLE]]</f>
        <v/>
      </c>
      <c r="C35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5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5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5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5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6">
      <c r="B36" s="34">
        <f>TableData[[#This Row],[ID SAMPLE]]</f>
        <v/>
      </c>
      <c r="C36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6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6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6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6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7">
      <c r="B37" s="34">
        <f>TableData[[#This Row],[ID SAMPLE]]</f>
        <v/>
      </c>
      <c r="C37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7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7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7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7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8">
      <c r="B38" s="34">
        <f>TableData[[#This Row],[ID SAMPLE]]</f>
        <v/>
      </c>
      <c r="C38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8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8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8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8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39">
      <c r="B39" s="34">
        <f>TableData[[#This Row],[ID SAMPLE]]</f>
        <v/>
      </c>
      <c r="C39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39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39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39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39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40">
      <c r="B40" s="34">
        <f>TableData[[#This Row],[ID SAMPLE]]</f>
        <v/>
      </c>
      <c r="C40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40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40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40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40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41">
      <c r="B41" s="34">
        <f>TableData[[#This Row],[ID SAMPLE]]</f>
        <v/>
      </c>
      <c r="C41" s="32">
        <f>IF(((TableData[[#This Row],[Al]] - Sheet2!$M$14) * TableData[[#This Row],[Volume]] * TableData[[#This Row],[dF]] / (TableData[[#This Row],[Weight]]* 1000)) &lt; 0, "0.00", (TableData[[#This Row],[Al]] - Sheet2!$M$14) * TableData[[#This Row],[Volume]] * TableData[[#This Row],[dF]] / (TableData[[#This Row],[Weight]] * 1000))</f>
        <v/>
      </c>
      <c r="D41" s="26">
        <f>IF(((TableData[[#This Row],[Pb]] - Sheet2!$N$14) * TableData[[#This Row],[Volume]] * TableData[[#This Row],[dF]] / (TableData[[#This Row],[Weight]]* 1000)) &lt; 0, "0.00", (TableData[[#This Row],[Pb]] - Sheet2!$N$14) * TableData[[#This Row],[Volume]] * TableData[[#This Row],[dF]] / (TableData[[#This Row],[Weight]] * 1000))</f>
        <v/>
      </c>
      <c r="E41" s="26">
        <f>IF(((TableData[[#This Row],[Cd]] - Sheet2!$O$14) * TableData[[#This Row],[Volume]] * TableData[[#This Row],[dF]] / (TableData[[#This Row],[Weight]]* 1000)) &lt; 0, "0.00", (TableData[[#This Row],[Cd]] - Sheet2!$O$14) * TableData[[#This Row],[Volume]] * TableData[[#This Row],[dF]] / (TableData[[#This Row],[Weight]] * 1000))</f>
        <v/>
      </c>
      <c r="F41" s="26">
        <f>IF(((TableData[[#This Row],[As]] - Sheet2!$P$14) * TableData[[#This Row],[Volume]] * TableData[[#This Row],[dF]] / (TableData[[#This Row],[Weight]]* 1000)) &lt; 0, "0.00", (TableData[[#This Row],[As]] - Sheet2!$P$14) * TableData[[#This Row],[Volume]] * TableData[[#This Row],[dF]] / (TableData[[#This Row],[Weight]] * 1000))</f>
        <v/>
      </c>
      <c r="G41" s="27">
        <f>IF(((TableData[[#This Row],[Hg]] - Sheet2!$Q$14) * TableData[[#This Row],[Volume]] * TableData[[#This Row],[dF]] / (TableData[[#This Row],[Weight]]* 1000)) &lt; 0, "0.00", (TableData[[#This Row],[Hg]] - Sheet2!$Q$14) * TableData[[#This Row],[Volume]] * TableData[[#This Row],[dF]] / (TableData[[#This Row],[Weight]] * 1000))</f>
        <v/>
      </c>
    </row>
    <row r="42">
      <c r="B42" s="34" t="n"/>
      <c r="C42" s="32" t="n"/>
      <c r="D42" s="14" t="n"/>
      <c r="E42" s="14" t="n"/>
      <c r="F42" s="14" t="n"/>
      <c r="G42" s="15" t="n"/>
    </row>
    <row r="43">
      <c r="B43" s="34" t="n"/>
      <c r="C43" s="32" t="n"/>
      <c r="D43" s="14" t="n"/>
      <c r="E43" s="14" t="n"/>
      <c r="F43" s="14" t="n"/>
      <c r="G43" s="15" t="n"/>
    </row>
    <row r="44">
      <c r="B44" s="34" t="n"/>
      <c r="C44" s="32" t="n"/>
      <c r="D44" s="14" t="n"/>
      <c r="E44" s="14" t="n"/>
      <c r="F44" s="14" t="n"/>
      <c r="G44" s="15" t="n"/>
    </row>
    <row r="45">
      <c r="B45" s="1" t="n"/>
      <c r="C45" s="42" t="n"/>
      <c r="D45" s="3" t="n"/>
      <c r="E45" s="3" t="n"/>
      <c r="F45" s="42" t="n"/>
      <c r="G45" s="42" t="n"/>
      <c r="H45" s="1" t="n"/>
    </row>
    <row r="46">
      <c r="B46" s="3" t="n"/>
      <c r="C46" s="3" t="n"/>
      <c r="D46" s="1" t="n"/>
      <c r="E46" s="42" t="n"/>
      <c r="F46" s="42" t="n"/>
      <c r="G46" s="42" t="n"/>
      <c r="H46" s="42" t="n"/>
    </row>
    <row r="47">
      <c r="B47" s="3" t="n"/>
      <c r="C47" s="3" t="n"/>
      <c r="D47" s="1" t="n"/>
      <c r="E47" s="42" t="n"/>
      <c r="F47" s="42" t="n"/>
      <c r="G47" s="42" t="n"/>
      <c r="H47" s="42" t="n"/>
    </row>
    <row r="48">
      <c r="B48" s="3" t="n"/>
      <c r="C48" s="3" t="n"/>
      <c r="D48" s="1" t="n"/>
      <c r="E48" s="42" t="n"/>
      <c r="F48" s="42" t="n"/>
      <c r="G48" s="42" t="n"/>
      <c r="H48" s="42" t="n"/>
    </row>
    <row r="49">
      <c r="B49" s="3" t="n"/>
      <c r="C49" s="3" t="n"/>
      <c r="D49" s="1" t="n"/>
      <c r="E49" s="42" t="n"/>
      <c r="F49" s="42" t="n"/>
      <c r="G49" s="42" t="n"/>
    </row>
  </sheetData>
  <mergeCells count="2">
    <mergeCell ref="B3:G3"/>
    <mergeCell ref="I11:K11"/>
  </mergeCells>
  <pageMargins left="0.7" right="0.7" top="0.75" bottom="0.75" header="0.3" footer="0.3"/>
  <pageSetup orientation="portrait" paperSize="9" horizontalDpi="0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R50"/>
  <sheetViews>
    <sheetView workbookViewId="0">
      <selection activeCell="K33" sqref="K33"/>
    </sheetView>
  </sheetViews>
  <sheetFormatPr baseColWidth="10" defaultRowHeight="16"/>
  <cols>
    <col width="12.6640625" bestFit="1" customWidth="1" style="43" min="2" max="2"/>
    <col width="15.6640625" bestFit="1" customWidth="1" style="43" min="9" max="10"/>
    <col width="16" bestFit="1" customWidth="1" style="43" min="11" max="12"/>
    <col width="9.1640625" bestFit="1" customWidth="1" style="43" min="13" max="13"/>
    <col width="10.5" bestFit="1" customWidth="1" style="43" min="14" max="14"/>
  </cols>
  <sheetData>
    <row r="3">
      <c r="B3" s="30" t="inlineStr">
        <is>
          <t>Table Data</t>
        </is>
      </c>
      <c r="K3" s="42" t="n"/>
      <c r="L3" s="31" t="inlineStr">
        <is>
          <t>Table Standard</t>
        </is>
      </c>
    </row>
    <row r="4">
      <c r="B4" s="18" t="inlineStr">
        <is>
          <t>ID SAMPLE</t>
        </is>
      </c>
      <c r="C4" s="17" t="inlineStr">
        <is>
          <t>Al</t>
        </is>
      </c>
      <c r="D4" s="17" t="inlineStr">
        <is>
          <t>Pb</t>
        </is>
      </c>
      <c r="E4" s="17" t="inlineStr">
        <is>
          <t>Cd</t>
        </is>
      </c>
      <c r="F4" s="17" t="inlineStr">
        <is>
          <t>As</t>
        </is>
      </c>
      <c r="G4" s="17" t="inlineStr">
        <is>
          <t>Hg</t>
        </is>
      </c>
      <c r="H4" s="17" t="inlineStr">
        <is>
          <t>Weight</t>
        </is>
      </c>
      <c r="I4" s="17" t="inlineStr">
        <is>
          <t>Volume</t>
        </is>
      </c>
      <c r="J4" s="17" t="inlineStr">
        <is>
          <t>dF</t>
        </is>
      </c>
      <c r="L4" s="18" t="inlineStr">
        <is>
          <t>Standard</t>
        </is>
      </c>
      <c r="M4" s="16" t="inlineStr">
        <is>
          <t>Al</t>
        </is>
      </c>
      <c r="N4" s="16" t="inlineStr">
        <is>
          <t>Pb</t>
        </is>
      </c>
      <c r="O4" s="16" t="inlineStr">
        <is>
          <t>Cd</t>
        </is>
      </c>
      <c r="P4" s="16" t="inlineStr">
        <is>
          <t>As</t>
        </is>
      </c>
      <c r="Q4" s="16" t="inlineStr">
        <is>
          <t>Hg</t>
        </is>
      </c>
    </row>
    <row r="5">
      <c r="B5" s="18" t="n"/>
      <c r="C5" s="18" t="inlineStr">
        <is>
          <t>(ppb)</t>
        </is>
      </c>
      <c r="D5" s="18" t="inlineStr">
        <is>
          <t>(ppb)</t>
        </is>
      </c>
      <c r="E5" s="18" t="inlineStr">
        <is>
          <t>(ppb)</t>
        </is>
      </c>
      <c r="F5" s="18" t="inlineStr">
        <is>
          <t>(ppb)</t>
        </is>
      </c>
      <c r="G5" s="18" t="inlineStr">
        <is>
          <t>(ppb)</t>
        </is>
      </c>
      <c r="H5" s="19" t="inlineStr">
        <is>
          <t>(g)</t>
        </is>
      </c>
      <c r="I5" s="19" t="inlineStr">
        <is>
          <t>(mL)</t>
        </is>
      </c>
      <c r="J5" s="19" t="inlineStr">
        <is>
          <t>(mL)</t>
        </is>
      </c>
      <c r="L5" s="18" t="inlineStr">
        <is>
          <t>Blank Baku</t>
        </is>
      </c>
      <c r="M5" s="53" t="n">
        <v>33.55848582918282</v>
      </c>
      <c r="N5" s="53" t="n">
        <v>1.44070281193861</v>
      </c>
      <c r="O5" s="53" t="n">
        <v>0.02313370961540958</v>
      </c>
      <c r="P5" s="53" t="n">
        <v>1.176608813809775</v>
      </c>
      <c r="Q5" s="53" t="n">
        <v>1.07181769008839</v>
      </c>
      <c r="R5" s="53" t="n"/>
    </row>
    <row r="6">
      <c r="B6" s="18" t="inlineStr">
        <is>
          <t>4287 Simplo</t>
        </is>
      </c>
      <c r="C6" s="54" t="n">
        <v>37.15332534446492</v>
      </c>
      <c r="D6" s="53" t="n">
        <v>1.162515055734457</v>
      </c>
      <c r="E6" s="53" t="n">
        <v>0.03154600385605834</v>
      </c>
      <c r="F6" s="53" t="n">
        <v>0.05676455189592724</v>
      </c>
      <c r="G6" s="53" t="n">
        <v>1.864968178749961</v>
      </c>
      <c r="H6" s="53" t="n">
        <v>0.2</v>
      </c>
      <c r="I6" s="19" t="n">
        <v>50</v>
      </c>
      <c r="J6" s="19" t="n">
        <v>1</v>
      </c>
      <c r="L6" s="3" t="inlineStr">
        <is>
          <t>BAKU 10 PPB</t>
        </is>
      </c>
      <c r="M6" s="53" t="n">
        <v>15.01454524430256</v>
      </c>
      <c r="N6" s="53" t="n">
        <v>1.482902372026788</v>
      </c>
      <c r="O6" s="53" t="n">
        <v>0.9816103779050336</v>
      </c>
      <c r="P6" s="53" t="n">
        <v>1.047588139655002</v>
      </c>
      <c r="Q6" s="53" t="n">
        <v>4.150604573455241</v>
      </c>
    </row>
    <row r="7">
      <c r="B7" s="18" t="inlineStr">
        <is>
          <t>4287 Duplo</t>
        </is>
      </c>
      <c r="C7" s="54" t="n">
        <v>38.53093820827353</v>
      </c>
      <c r="D7" s="53" t="n">
        <v>1.49843253302676</v>
      </c>
      <c r="E7" s="53" t="n">
        <v>0.05397898665737531</v>
      </c>
      <c r="F7" s="53" t="n">
        <v>0.05676451061237658</v>
      </c>
      <c r="G7" s="53" t="n">
        <v>1.700668510584174</v>
      </c>
      <c r="H7" s="53" t="n">
        <v>0.2</v>
      </c>
      <c r="I7" s="19" t="n">
        <v>50</v>
      </c>
      <c r="J7" s="19" t="n">
        <v>1</v>
      </c>
      <c r="L7" s="3" t="inlineStr">
        <is>
          <t>BAKU 50 PPB</t>
        </is>
      </c>
      <c r="M7" s="53" t="n">
        <v>56.57434959776696</v>
      </c>
      <c r="N7" s="53" t="n">
        <v>5.3933349028172</v>
      </c>
      <c r="O7" s="53" t="n">
        <v>5.158262542441488</v>
      </c>
      <c r="P7" s="53" t="n">
        <v>5.181741409305534</v>
      </c>
      <c r="Q7" s="53" t="n">
        <v>2.340794296692231</v>
      </c>
    </row>
    <row r="8">
      <c r="B8" s="18" t="inlineStr">
        <is>
          <t>4287 Spike</t>
        </is>
      </c>
      <c r="C8" s="54" t="n">
        <v>407.1680882824224</v>
      </c>
      <c r="D8" s="53" t="n">
        <v>39.16571038926228</v>
      </c>
      <c r="E8" s="53" t="n">
        <v>34.09120157169484</v>
      </c>
      <c r="F8" s="53" t="n">
        <v>34.99875850980607</v>
      </c>
      <c r="G8" s="53" t="n">
        <v>174.2146350012892</v>
      </c>
      <c r="H8" s="53" t="n">
        <v>0.2</v>
      </c>
      <c r="I8" s="19" t="n">
        <v>50</v>
      </c>
      <c r="J8" s="19" t="n">
        <v>1</v>
      </c>
      <c r="L8" s="3" t="inlineStr">
        <is>
          <t>BAKU 100 PPB</t>
        </is>
      </c>
      <c r="M8" s="53" t="n">
        <v>113.7118730898763</v>
      </c>
      <c r="N8" s="53" t="n">
        <v>10.22626337367498</v>
      </c>
      <c r="O8" s="53" t="n">
        <v>10.32875203333258</v>
      </c>
      <c r="P8" s="53" t="n">
        <v>10.58173284790268</v>
      </c>
      <c r="Q8" s="53" t="n">
        <v>4.382679943812696</v>
      </c>
    </row>
    <row r="9">
      <c r="B9" s="18" t="inlineStr">
        <is>
          <t>4254</t>
        </is>
      </c>
      <c r="C9" s="54" t="n">
        <v>26.73858241500266</v>
      </c>
      <c r="D9" s="53" t="n">
        <v>1.318584703747978</v>
      </c>
      <c r="E9" s="53" t="n">
        <v>0.03154599824800053</v>
      </c>
      <c r="F9" s="53" t="n">
        <v>0.09288749359406799</v>
      </c>
      <c r="G9" s="53" t="n">
        <v>0.8784520499122472</v>
      </c>
      <c r="H9" s="53" t="n">
        <v>0.2</v>
      </c>
      <c r="I9" s="19" t="n">
        <v>50</v>
      </c>
      <c r="J9" s="19" t="n">
        <v>1</v>
      </c>
      <c r="L9" s="3" t="inlineStr">
        <is>
          <t>BAKU 300 PPB</t>
        </is>
      </c>
      <c r="M9" s="53" t="n">
        <v>331.9129990908521</v>
      </c>
      <c r="N9" s="53" t="n">
        <v>32.4971937741888</v>
      </c>
      <c r="O9" s="53" t="n">
        <v>31.15912306952666</v>
      </c>
      <c r="P9" s="53" t="n">
        <v>32.06770257343046</v>
      </c>
      <c r="Q9" s="53" t="n">
        <v>8.866570214708126</v>
      </c>
    </row>
    <row r="10">
      <c r="B10" s="18" t="inlineStr">
        <is>
          <t>4255</t>
        </is>
      </c>
      <c r="C10" s="54" t="n">
        <v>44.27643325845671</v>
      </c>
      <c r="D10" s="53" t="n">
        <v>1.050368784263666</v>
      </c>
      <c r="E10" s="53" t="n">
        <v>0.01962857813549567</v>
      </c>
      <c r="F10" s="53" t="n">
        <v>0.08772700847690078</v>
      </c>
      <c r="G10" s="53" t="n">
        <v>0.7364489362203548</v>
      </c>
      <c r="H10" s="53" t="n">
        <v>0.2</v>
      </c>
      <c r="I10" s="19" t="n">
        <v>50</v>
      </c>
      <c r="J10" s="19" t="n">
        <v>1</v>
      </c>
      <c r="L10" s="3" t="inlineStr">
        <is>
          <t>BAKU 500 PPB</t>
        </is>
      </c>
      <c r="M10" s="53" t="n">
        <v>513.3575575178027</v>
      </c>
      <c r="N10" s="53" t="n">
        <v>51.65284781058187</v>
      </c>
      <c r="O10" s="53" t="n">
        <v>51.39753625299443</v>
      </c>
      <c r="P10" s="53" t="n">
        <v>52.899511966723</v>
      </c>
      <c r="Q10" s="53" t="n">
        <v>14.71134620474421</v>
      </c>
    </row>
    <row r="11">
      <c r="B11" s="18" t="inlineStr">
        <is>
          <t>4256</t>
        </is>
      </c>
      <c r="C11" s="54" t="n">
        <v>33.18891341932841</v>
      </c>
      <c r="D11" s="53" t="n">
        <v>1.123357312142128</v>
      </c>
      <c r="E11" s="53" t="n">
        <v>0.01121630632795309</v>
      </c>
      <c r="F11" s="53" t="n">
        <v>0.04644374679678629</v>
      </c>
      <c r="G11" s="53" t="n">
        <v>0.7450003497780507</v>
      </c>
      <c r="H11" s="53" t="n">
        <v>0.2</v>
      </c>
      <c r="I11" s="19" t="n">
        <v>50</v>
      </c>
      <c r="J11" s="19" t="n">
        <v>1</v>
      </c>
      <c r="L11" s="3" t="inlineStr">
        <is>
          <t>BAKU 700 PPB</t>
        </is>
      </c>
      <c r="M11" s="53" t="n">
        <v>700.1945735842465</v>
      </c>
      <c r="N11" s="53" t="n">
        <v>70.22917202866824</v>
      </c>
      <c r="O11" s="53" t="n">
        <v>69.44562430396883</v>
      </c>
      <c r="P11" s="53" t="n">
        <v>70.46457516021617</v>
      </c>
      <c r="Q11" s="53" t="n">
        <v>282.2367386270907</v>
      </c>
    </row>
    <row r="12">
      <c r="B12" s="18" t="inlineStr">
        <is>
          <t>4257</t>
        </is>
      </c>
      <c r="C12" s="54" t="n">
        <v>153.4544779283693</v>
      </c>
      <c r="D12" s="53" t="n">
        <v>1.283396103891991</v>
      </c>
      <c r="E12" s="53" t="n">
        <v>0.01051531031631706</v>
      </c>
      <c r="F12" s="53" t="n">
        <v>0.03096241529742286</v>
      </c>
      <c r="G12" s="53" t="n">
        <v>0.8134361813467451</v>
      </c>
      <c r="H12" s="53" t="n">
        <v>0.2</v>
      </c>
      <c r="I12" s="19" t="n">
        <v>50</v>
      </c>
      <c r="J12" s="19" t="n">
        <v>1</v>
      </c>
      <c r="L12" s="3" t="inlineStr">
        <is>
          <t>BAKU 800 PPB</t>
        </is>
      </c>
      <c r="M12" s="53" t="n">
        <v>808.7260296679486</v>
      </c>
      <c r="N12" s="53" t="n">
        <v>79.52627967167058</v>
      </c>
      <c r="O12" s="53" t="n">
        <v>79.36246248841356</v>
      </c>
      <c r="P12" s="53" t="n">
        <v>80.13186350287235</v>
      </c>
      <c r="Q12" s="53" t="n">
        <v>23.2809948001079</v>
      </c>
    </row>
    <row r="13">
      <c r="B13" s="18" t="inlineStr">
        <is>
          <t>4258</t>
        </is>
      </c>
      <c r="C13" s="54" t="n">
        <v>1120.171835644108</v>
      </c>
      <c r="D13" s="53" t="n">
        <v>1.229819747584584</v>
      </c>
      <c r="E13" s="53" t="n">
        <v>0.02804087798426954</v>
      </c>
      <c r="F13" s="53" t="n">
        <v>0.06708543956266494</v>
      </c>
      <c r="G13" s="53" t="n">
        <v>0.536280707942573</v>
      </c>
      <c r="H13" s="53" t="n">
        <v>0.2</v>
      </c>
      <c r="I13" s="19" t="n">
        <v>50</v>
      </c>
      <c r="J13" s="19" t="n">
        <v>1</v>
      </c>
      <c r="L13" s="3" t="inlineStr">
        <is>
          <t>BAKU 1000 PPB</t>
        </is>
      </c>
      <c r="M13" s="53" t="n">
        <v>1029.79722841061</v>
      </c>
      <c r="N13" s="53" t="n">
        <v>101.7464180557831</v>
      </c>
      <c r="O13" s="53" t="n">
        <v>100.8524112214219</v>
      </c>
      <c r="P13" s="53" t="n">
        <v>100.5435225295521</v>
      </c>
      <c r="Q13" s="53" t="n">
        <v>31.76119371233883</v>
      </c>
    </row>
    <row r="14">
      <c r="B14" s="18" t="inlineStr">
        <is>
          <t>4259</t>
        </is>
      </c>
      <c r="C14" s="54" t="n">
        <v>27.00735494280277</v>
      </c>
      <c r="D14" s="53" t="n">
        <v>1.291164804769701</v>
      </c>
      <c r="E14" s="53" t="n">
        <v>0.02173165029355928</v>
      </c>
      <c r="F14" s="53" t="n">
        <v>0.06192511958168203</v>
      </c>
      <c r="G14" s="53" t="n">
        <v>0.6432061446194418</v>
      </c>
      <c r="H14" s="53" t="n">
        <v>0.2</v>
      </c>
      <c r="I14" s="19" t="n">
        <v>50</v>
      </c>
      <c r="J14" s="19" t="n">
        <v>1</v>
      </c>
      <c r="L14" s="18" t="inlineStr">
        <is>
          <t>Blank Mars (Date)</t>
        </is>
      </c>
      <c r="M14" s="53" t="n">
        <v>12.26006433783096</v>
      </c>
      <c r="N14" s="53" t="n">
        <v>1.181819133372865</v>
      </c>
      <c r="O14" s="53" t="n">
        <v>0.01121632315253035</v>
      </c>
      <c r="P14" s="53" t="n">
        <v>0.05160402549570477</v>
      </c>
      <c r="Q14" s="53" t="n">
        <v>0.506342810698901</v>
      </c>
    </row>
    <row r="15">
      <c r="B15" s="18" t="inlineStr">
        <is>
          <t>4260</t>
        </is>
      </c>
      <c r="C15" s="54" t="n">
        <v>37.25420694614089</v>
      </c>
      <c r="D15" s="53" t="n">
        <v>2.545459046227846</v>
      </c>
      <c r="E15" s="53" t="n">
        <v>0.009814275047199479</v>
      </c>
      <c r="F15" s="53" t="n">
        <v>0.07740616209470456</v>
      </c>
      <c r="G15" s="53" t="n">
        <v>1.144517506942255</v>
      </c>
      <c r="H15" s="53" t="n">
        <v>0.2</v>
      </c>
      <c r="I15" s="19" t="n">
        <v>50</v>
      </c>
      <c r="J15" s="19" t="n">
        <v>1</v>
      </c>
      <c r="L15" s="18" t="inlineStr">
        <is>
          <t>Blank Spike</t>
        </is>
      </c>
      <c r="M15" s="53" t="n">
        <v>407.1680882824224</v>
      </c>
      <c r="N15" s="53" t="n">
        <v>39.16571038926228</v>
      </c>
      <c r="O15" s="53" t="n">
        <v>34.09120157169484</v>
      </c>
      <c r="P15" s="53" t="n">
        <v>34.99875850980607</v>
      </c>
      <c r="Q15" s="53" t="n">
        <v>174.2146350012892</v>
      </c>
    </row>
    <row r="16">
      <c r="B16" s="18" t="inlineStr">
        <is>
          <t>4271</t>
        </is>
      </c>
      <c r="C16" s="54" t="n">
        <v>36.91832967087068</v>
      </c>
      <c r="D16" s="53" t="n">
        <v>1.318658932516151</v>
      </c>
      <c r="E16" s="53" t="n">
        <v>0.02733990440573969</v>
      </c>
      <c r="F16" s="53" t="n">
        <v>0.02064161019828191</v>
      </c>
      <c r="G16" s="53" t="n">
        <v>2.945096247186954</v>
      </c>
      <c r="H16" s="53" t="n">
        <v>0.2</v>
      </c>
      <c r="I16" s="19" t="n">
        <v>50</v>
      </c>
      <c r="J16" s="19" t="n">
        <v>1</v>
      </c>
      <c r="L16" s="18" t="inlineStr">
        <is>
          <t>CS 500 ppb</t>
        </is>
      </c>
      <c r="M16" s="53" t="n">
        <v>380.4830765798051</v>
      </c>
      <c r="N16" s="53" t="n">
        <v>41.45292312679899</v>
      </c>
      <c r="O16" s="53" t="n">
        <v>40.73282181069209</v>
      </c>
      <c r="P16" s="53" t="n">
        <v>41.84972655925045</v>
      </c>
      <c r="Q16" s="53" t="n">
        <v>208.9462211028048</v>
      </c>
    </row>
    <row r="17">
      <c r="B17" s="18" t="inlineStr">
        <is>
          <t>4272</t>
        </is>
      </c>
      <c r="C17" s="54" t="n">
        <v>24.92444855991128</v>
      </c>
      <c r="D17" s="53" t="n">
        <v>1.371188097729078</v>
      </c>
      <c r="E17" s="53" t="n">
        <v>0.00981426943900706</v>
      </c>
      <c r="F17" s="53" t="n">
        <v>0.04644374679678629</v>
      </c>
      <c r="G17" s="53" t="n">
        <v>1.371243596453231</v>
      </c>
      <c r="H17" s="53" t="n">
        <v>0.2</v>
      </c>
      <c r="I17" s="19" t="n">
        <v>50</v>
      </c>
      <c r="J17" s="19" t="n">
        <v>1</v>
      </c>
    </row>
    <row r="18">
      <c r="B18" s="18" t="inlineStr">
        <is>
          <t>4273</t>
        </is>
      </c>
      <c r="C18" s="54" t="n">
        <v>31.77786457149382</v>
      </c>
      <c r="D18" s="53" t="n">
        <v>1.56923482077554</v>
      </c>
      <c r="E18" s="53" t="n">
        <v>0.07290695014807816</v>
      </c>
      <c r="F18" s="53" t="n">
        <v>0.02064161019828191</v>
      </c>
      <c r="G18" s="53" t="n">
        <v>0.8006072918669485</v>
      </c>
      <c r="H18" s="53" t="n">
        <v>0.2</v>
      </c>
      <c r="I18" s="19" t="n">
        <v>50</v>
      </c>
      <c r="J18" s="19" t="n">
        <v>1</v>
      </c>
      <c r="L18" s="3" t="inlineStr">
        <is>
          <t>Cek STD</t>
        </is>
      </c>
      <c r="M18" s="3" t="inlineStr">
        <is>
          <t>Conc.</t>
        </is>
      </c>
      <c r="N18" s="1" t="inlineStr">
        <is>
          <t>Unit</t>
        </is>
      </c>
      <c r="P18" s="3" t="inlineStr">
        <is>
          <t>Cek STD</t>
        </is>
      </c>
      <c r="Q18" s="3" t="inlineStr">
        <is>
          <t>Conc.</t>
        </is>
      </c>
      <c r="R18" s="1" t="inlineStr">
        <is>
          <t>Unit</t>
        </is>
      </c>
    </row>
    <row r="19">
      <c r="B19" s="18" t="inlineStr">
        <is>
          <t>4274</t>
        </is>
      </c>
      <c r="C19" s="54" t="n">
        <v>34.23035249837984</v>
      </c>
      <c r="D19" s="53" t="n">
        <v>1.307637612822536</v>
      </c>
      <c r="E19" s="53" t="n">
        <v>0.06239143232265175</v>
      </c>
      <c r="F19" s="53" t="n">
        <v>0.04644362294613429</v>
      </c>
      <c r="G19" s="53" t="n">
        <v>1.189860391698458</v>
      </c>
      <c r="H19" s="53" t="n">
        <v>0.2</v>
      </c>
      <c r="I19" s="19" t="n">
        <v>50</v>
      </c>
      <c r="J19" s="19" t="n">
        <v>1</v>
      </c>
      <c r="L19" s="3" t="inlineStr">
        <is>
          <t>Cek Std (CRM)</t>
        </is>
      </c>
      <c r="M19" s="3" t="n">
        <v>50</v>
      </c>
      <c r="N19" s="1" t="inlineStr">
        <is>
          <t>ug/L</t>
        </is>
      </c>
      <c r="P19" s="3" t="inlineStr">
        <is>
          <t>Cek Std (CRM)</t>
        </is>
      </c>
      <c r="Q19" s="3" t="n">
        <v>500</v>
      </c>
      <c r="R19" s="1" t="inlineStr">
        <is>
          <t>ug/L</t>
        </is>
      </c>
    </row>
    <row r="20">
      <c r="B20" s="18" t="inlineStr">
        <is>
          <t>4275</t>
        </is>
      </c>
      <c r="C20" s="54" t="n">
        <v>31.30831478595284</v>
      </c>
      <c r="D20" s="53" t="n">
        <v>1.17396359090277</v>
      </c>
      <c r="E20" s="53" t="n">
        <v>0.009113250994534042</v>
      </c>
      <c r="F20" s="53" t="n">
        <v>0.08256652336022899</v>
      </c>
      <c r="G20" s="53" t="n">
        <v>0.788629221413839</v>
      </c>
      <c r="H20" s="53" t="n">
        <v>0.2</v>
      </c>
      <c r="I20" s="19" t="n">
        <v>50</v>
      </c>
      <c r="J20" s="19" t="n">
        <v>1</v>
      </c>
      <c r="L20" s="3" t="inlineStr">
        <is>
          <t>Conc.spiked</t>
        </is>
      </c>
      <c r="M20" s="3" t="n">
        <v>50</v>
      </c>
      <c r="N20" s="1" t="inlineStr">
        <is>
          <t>ug/L</t>
        </is>
      </c>
      <c r="P20" s="3" t="inlineStr">
        <is>
          <t>Conc.spiked</t>
        </is>
      </c>
      <c r="Q20" s="3" t="n">
        <v>500</v>
      </c>
      <c r="R20" s="1" t="inlineStr">
        <is>
          <t>ug/L</t>
        </is>
      </c>
    </row>
    <row r="21">
      <c r="B21" s="18" t="inlineStr">
        <is>
          <t>4276</t>
        </is>
      </c>
      <c r="C21" s="54" t="n">
        <v>62.2195620388321</v>
      </c>
      <c r="D21" s="53" t="n">
        <v>1.237352564407495</v>
      </c>
      <c r="E21" s="53" t="n">
        <v>0.009814303088430785</v>
      </c>
      <c r="F21" s="53" t="n">
        <v>0.02580205403140305</v>
      </c>
      <c r="G21" s="53" t="n">
        <v>0.8485095464791567</v>
      </c>
      <c r="H21" s="53" t="n">
        <v>0.2</v>
      </c>
      <c r="I21" s="19" t="n">
        <v>50</v>
      </c>
      <c r="J21" s="19" t="n">
        <v>1</v>
      </c>
      <c r="L21" s="3" t="inlineStr">
        <is>
          <t>LOD</t>
        </is>
      </c>
      <c r="M21" s="3" t="n">
        <v>0</v>
      </c>
      <c r="N21" s="1" t="inlineStr">
        <is>
          <t>mg/L</t>
        </is>
      </c>
      <c r="P21" s="3" t="inlineStr">
        <is>
          <t>LOD</t>
        </is>
      </c>
      <c r="Q21" s="3" t="n">
        <v>0</v>
      </c>
      <c r="R21" s="1" t="inlineStr">
        <is>
          <t>mg/L</t>
        </is>
      </c>
    </row>
    <row r="22">
      <c r="B22" s="18" t="inlineStr">
        <is>
          <t>4289</t>
        </is>
      </c>
      <c r="C22" s="54" t="n">
        <v>37.75820580891879</v>
      </c>
      <c r="D22" s="53" t="n">
        <v>2.875496783490986</v>
      </c>
      <c r="E22" s="53" t="n">
        <v>0.01472147145722344</v>
      </c>
      <c r="F22" s="53" t="n">
        <v>0.0464436229461343</v>
      </c>
      <c r="G22" s="53" t="n">
        <v>1.085484790179335</v>
      </c>
      <c r="H22" s="53" t="n">
        <v>0.2</v>
      </c>
      <c r="I22" s="19" t="n">
        <v>50</v>
      </c>
      <c r="J22" s="19" t="n">
        <v>1</v>
      </c>
      <c r="L22" s="3" t="inlineStr">
        <is>
          <t>LOQ</t>
        </is>
      </c>
      <c r="M22" s="3">
        <f>$J$6*10</f>
        <v/>
      </c>
      <c r="N22" s="1" t="inlineStr">
        <is>
          <t>mg/L</t>
        </is>
      </c>
      <c r="P22" s="3" t="inlineStr">
        <is>
          <t>LOQ</t>
        </is>
      </c>
      <c r="Q22" s="3">
        <f>$J$6*10</f>
        <v/>
      </c>
      <c r="R22" s="1" t="inlineStr">
        <is>
          <t>mg/L</t>
        </is>
      </c>
    </row>
    <row r="23">
      <c r="B23" s="18" t="inlineStr">
        <is>
          <t>4290</t>
        </is>
      </c>
      <c r="C23" s="54" t="n">
        <v>33.45769965779611</v>
      </c>
      <c r="D23" s="53" t="n">
        <v>3.086421826397847</v>
      </c>
      <c r="E23" s="53" t="n">
        <v>0.0238348065757879</v>
      </c>
      <c r="F23" s="53" t="n">
        <v>0.03096245658097353</v>
      </c>
      <c r="G23" s="53" t="n">
        <v>0.982823208811976</v>
      </c>
      <c r="H23" s="53" t="n">
        <v>0.2</v>
      </c>
      <c r="I23" s="19" t="n">
        <v>50</v>
      </c>
      <c r="J23" s="19" t="n">
        <v>1</v>
      </c>
    </row>
    <row r="24">
      <c r="B24" s="18" t="inlineStr">
        <is>
          <t>4291</t>
        </is>
      </c>
      <c r="C24" s="54" t="n">
        <v>0.1007627887045665</v>
      </c>
      <c r="D24" s="53" t="n">
        <v>0.5374171969695095</v>
      </c>
      <c r="E24" s="53" t="n">
        <v>0</v>
      </c>
      <c r="F24" s="53" t="n">
        <v>0</v>
      </c>
      <c r="G24" s="53" t="n">
        <v>0.1000645290640315</v>
      </c>
      <c r="H24" s="53" t="n">
        <v>0.2</v>
      </c>
      <c r="I24" s="19" t="n">
        <v>50</v>
      </c>
      <c r="J24" s="19" t="n">
        <v>1</v>
      </c>
    </row>
    <row r="25">
      <c r="B25" s="18" t="inlineStr">
        <is>
          <t>4292</t>
        </is>
      </c>
      <c r="C25" s="54" t="n">
        <v>0</v>
      </c>
      <c r="D25" s="53" t="n">
        <v>0.00911393468394504</v>
      </c>
      <c r="E25" s="53" t="n">
        <v>0.0007010184444730156</v>
      </c>
      <c r="F25" s="53" t="n">
        <v>0</v>
      </c>
      <c r="G25" s="53" t="n">
        <v>0.1000645974861283</v>
      </c>
      <c r="H25" s="53" t="n">
        <v>0.2</v>
      </c>
      <c r="I25" s="19" t="n">
        <v>50</v>
      </c>
      <c r="J25" s="19" t="n">
        <v>1</v>
      </c>
    </row>
    <row r="26">
      <c r="B26" s="18" t="inlineStr">
        <is>
          <t>4293</t>
        </is>
      </c>
      <c r="C26" s="54" t="n">
        <v>45.28424681888713</v>
      </c>
      <c r="D26" s="53" t="n">
        <v>0.9651398726998098</v>
      </c>
      <c r="E26" s="53" t="n">
        <v>0.01191734159707067</v>
      </c>
      <c r="F26" s="53" t="n">
        <v>0.02580201274785239</v>
      </c>
      <c r="G26" s="53" t="n">
        <v>0.790343590349376</v>
      </c>
      <c r="H26" s="53" t="n">
        <v>0.2</v>
      </c>
      <c r="I26" s="19" t="n">
        <v>50</v>
      </c>
      <c r="J26" s="19" t="n">
        <v>1</v>
      </c>
      <c r="M26" s="42" t="n"/>
      <c r="N26" s="42" t="n"/>
      <c r="O26" s="42" t="n"/>
      <c r="P26" s="42" t="n"/>
    </row>
    <row r="27">
      <c r="B27" s="18" t="inlineStr">
        <is>
          <t>4291</t>
        </is>
      </c>
      <c r="C27" s="54" t="n">
        <v>0</v>
      </c>
      <c r="D27" s="53" t="n">
        <v>0.0271416523552491</v>
      </c>
      <c r="E27" s="53" t="n">
        <v>0.002103055333419047</v>
      </c>
      <c r="F27" s="53" t="n">
        <v>0</v>
      </c>
      <c r="G27" s="53" t="n">
        <v>0.06927523003966163</v>
      </c>
      <c r="H27" s="53" t="n">
        <v>0.2</v>
      </c>
      <c r="I27" s="19" t="n">
        <v>50</v>
      </c>
      <c r="J27" s="19" t="n">
        <v>1</v>
      </c>
      <c r="M27" s="42" t="n"/>
      <c r="N27" s="42" t="n"/>
      <c r="O27" s="42" t="n"/>
      <c r="P27" s="42" t="n"/>
    </row>
    <row r="28">
      <c r="B28" s="18" t="inlineStr">
        <is>
          <t>4292</t>
        </is>
      </c>
      <c r="C28" s="54" t="n">
        <v>0</v>
      </c>
      <c r="D28" s="53" t="n">
        <v>0.003172794250224166</v>
      </c>
      <c r="E28" s="53" t="n">
        <v>0.0007010184444730156</v>
      </c>
      <c r="F28" s="53" t="n">
        <v>0.005160402549570478</v>
      </c>
      <c r="G28" s="53" t="n">
        <v>0.06414365625488584</v>
      </c>
      <c r="H28" s="53" t="n">
        <v>0.2</v>
      </c>
      <c r="I28" s="19" t="n">
        <v>50</v>
      </c>
      <c r="J28" s="19" t="n">
        <v>1</v>
      </c>
      <c r="M28" s="42" t="n"/>
      <c r="N28" s="42" t="n"/>
      <c r="O28" s="42" t="n"/>
      <c r="P28" s="42" t="n"/>
    </row>
    <row r="29">
      <c r="B29" s="18" t="inlineStr">
        <is>
          <t>4293</t>
        </is>
      </c>
      <c r="C29" s="54" t="n">
        <v>0</v>
      </c>
      <c r="D29" s="53" t="n">
        <v>0.006414971603496006</v>
      </c>
      <c r="E29" s="53" t="n">
        <v>0</v>
      </c>
      <c r="F29" s="53" t="n">
        <v>0</v>
      </c>
      <c r="G29" s="53" t="n">
        <v>0.07098580024915388</v>
      </c>
      <c r="H29" s="53" t="n">
        <v>0.2</v>
      </c>
      <c r="I29" s="19" t="n">
        <v>50</v>
      </c>
      <c r="J29" s="19" t="n">
        <v>1</v>
      </c>
      <c r="K29" s="42" t="n"/>
      <c r="M29" s="42" t="n"/>
      <c r="N29" s="42" t="n"/>
      <c r="O29" s="42" t="n"/>
      <c r="P29" s="42" t="n"/>
    </row>
    <row r="30">
      <c r="B30" s="18" t="inlineStr">
        <is>
          <t>4294</t>
        </is>
      </c>
      <c r="C30" s="54" t="n">
        <v>0.100763057407486</v>
      </c>
      <c r="D30" s="53" t="n">
        <v>0.0108730219812138</v>
      </c>
      <c r="E30" s="53" t="n">
        <v>0</v>
      </c>
      <c r="F30" s="53" t="n">
        <v>0</v>
      </c>
      <c r="G30" s="53" t="n">
        <v>0.05559105836872295</v>
      </c>
      <c r="H30" s="53" t="n">
        <v>0.2</v>
      </c>
      <c r="I30" s="19" t="n">
        <v>50</v>
      </c>
      <c r="J30" s="19" t="n">
        <v>1</v>
      </c>
      <c r="K30" s="42" t="n"/>
      <c r="M30" s="42" t="n"/>
    </row>
    <row r="31">
      <c r="B31" s="18" t="inlineStr">
        <is>
          <t>4253 Simplo</t>
        </is>
      </c>
      <c r="C31" s="54" t="n">
        <v>0</v>
      </c>
      <c r="D31" s="53" t="n">
        <v>0.003105274855495648</v>
      </c>
      <c r="E31" s="53" t="n">
        <v>0</v>
      </c>
      <c r="F31" s="53" t="n">
        <v>0</v>
      </c>
      <c r="G31" s="53" t="n">
        <v>0.04361760059139722</v>
      </c>
      <c r="H31" s="53" t="n">
        <v>0.2</v>
      </c>
      <c r="I31" s="19" t="n">
        <v>50</v>
      </c>
      <c r="J31" s="19" t="n">
        <v>1</v>
      </c>
      <c r="K31" s="42" t="n"/>
      <c r="L31" s="42" t="n"/>
    </row>
    <row r="32">
      <c r="B32" s="18" t="inlineStr">
        <is>
          <t>4253 Duplo</t>
        </is>
      </c>
      <c r="C32" s="54" t="n">
        <v>0</v>
      </c>
      <c r="D32" s="53" t="n">
        <v>0.008281614353725136</v>
      </c>
      <c r="E32" s="53" t="n">
        <v>0.001402036888946031</v>
      </c>
      <c r="F32" s="53" t="n">
        <v>0.005160402549570478</v>
      </c>
      <c r="G32" s="53" t="n">
        <v>0.06157782488925988</v>
      </c>
      <c r="H32" s="53" t="n">
        <v>0.2</v>
      </c>
      <c r="I32" s="19" t="n">
        <v>50</v>
      </c>
      <c r="J32" s="19" t="n">
        <v>1</v>
      </c>
      <c r="L32" s="42" t="n"/>
      <c r="M32" s="42" t="n"/>
      <c r="N32" s="42" t="n"/>
      <c r="O32" s="42" t="n"/>
      <c r="P32" s="42" t="n"/>
    </row>
    <row r="33">
      <c r="B33" s="18" t="inlineStr">
        <is>
          <t>4253 Spike</t>
        </is>
      </c>
      <c r="C33" s="54" t="n">
        <v>0.03358759623485548</v>
      </c>
      <c r="D33" s="53" t="n">
        <v>0.006998669603375415</v>
      </c>
      <c r="E33" s="53" t="n">
        <v>0</v>
      </c>
      <c r="F33" s="53" t="n">
        <v>0</v>
      </c>
      <c r="G33" s="53" t="n">
        <v>0.0769724778219831</v>
      </c>
      <c r="H33" s="53" t="n">
        <v>0.2</v>
      </c>
      <c r="I33" s="19" t="n">
        <v>50</v>
      </c>
      <c r="J33" s="19" t="n">
        <v>1</v>
      </c>
      <c r="L33" s="42" t="n"/>
      <c r="M33" s="42" t="n"/>
      <c r="N33" s="42" t="n"/>
      <c r="P33" s="3" t="n"/>
    </row>
    <row r="34">
      <c r="B34" s="18" t="inlineStr">
        <is>
          <t>4246</t>
        </is>
      </c>
      <c r="C34" s="54" t="n">
        <v>0</v>
      </c>
      <c r="D34" s="53" t="n">
        <v>0.00542309887806111</v>
      </c>
      <c r="E34" s="53" t="n">
        <v>0</v>
      </c>
      <c r="F34" s="53" t="n">
        <v>0.005160402549570478</v>
      </c>
      <c r="G34" s="53" t="n">
        <v>0.06072261162739519</v>
      </c>
      <c r="H34" s="53" t="n">
        <v>0.2</v>
      </c>
      <c r="I34" s="19" t="n">
        <v>50</v>
      </c>
      <c r="J34" s="19" t="n">
        <v>1</v>
      </c>
      <c r="N34" s="42" t="n"/>
      <c r="P34" s="3" t="n"/>
    </row>
    <row r="35">
      <c r="B35" s="18" t="inlineStr">
        <is>
          <t>4247</t>
        </is>
      </c>
      <c r="C35" s="54" t="n">
        <v>0</v>
      </c>
      <c r="D35" s="53" t="n">
        <v>0.007471212111511484</v>
      </c>
      <c r="E35" s="53" t="n">
        <v>0</v>
      </c>
      <c r="F35" s="53" t="n">
        <v>0.005160402549570478</v>
      </c>
      <c r="G35" s="53" t="n">
        <v>0.07184108193401859</v>
      </c>
      <c r="H35" s="53" t="n">
        <v>0.2</v>
      </c>
      <c r="I35" s="19" t="n">
        <v>50</v>
      </c>
      <c r="J35" s="19" t="n">
        <v>1</v>
      </c>
      <c r="N35" s="42" t="n"/>
      <c r="O35" s="42" t="n"/>
      <c r="P35" s="3" t="n"/>
    </row>
    <row r="36">
      <c r="B36" s="18" t="inlineStr">
        <is>
          <t>4248</t>
        </is>
      </c>
      <c r="C36" s="54" t="n">
        <v>0</v>
      </c>
      <c r="D36" s="53" t="n">
        <v>0.1851340046124902</v>
      </c>
      <c r="E36" s="53" t="n">
        <v>0</v>
      </c>
      <c r="F36" s="53" t="n">
        <v>0</v>
      </c>
      <c r="G36" s="53" t="n">
        <v>0.08894622297067031</v>
      </c>
      <c r="H36" s="53" t="n">
        <v>0.2</v>
      </c>
      <c r="I36" s="19" t="n">
        <v>50</v>
      </c>
      <c r="J36" s="19" t="n">
        <v>1</v>
      </c>
      <c r="N36" s="42" t="n"/>
      <c r="O36" s="42" t="n"/>
      <c r="P36" s="3" t="n"/>
    </row>
    <row r="37">
      <c r="B37" s="18" t="inlineStr">
        <is>
          <t>4249</t>
        </is>
      </c>
      <c r="C37" s="54" t="n">
        <v>0</v>
      </c>
      <c r="D37" s="53" t="n">
        <v>0.007335918513509061</v>
      </c>
      <c r="E37" s="53" t="n">
        <v>0</v>
      </c>
      <c r="F37" s="53" t="n">
        <v>0.005160402549570478</v>
      </c>
      <c r="G37" s="53" t="n">
        <v>0.08980162781741133</v>
      </c>
      <c r="H37" s="53" t="n">
        <v>0.2</v>
      </c>
      <c r="I37" s="19" t="n">
        <v>50</v>
      </c>
      <c r="J37" s="19" t="n">
        <v>1</v>
      </c>
      <c r="N37" s="42" t="n"/>
      <c r="O37" s="42" t="n"/>
      <c r="P37" s="3" t="n"/>
    </row>
    <row r="38">
      <c r="B38" s="18" t="inlineStr">
        <is>
          <t>4288 Simplo</t>
        </is>
      </c>
      <c r="C38" s="54" t="n">
        <v>0.03358759623485548</v>
      </c>
      <c r="D38" s="53" t="n">
        <v>0.01274025247220146</v>
      </c>
      <c r="E38" s="53" t="n">
        <v>0</v>
      </c>
      <c r="F38" s="53" t="n">
        <v>0</v>
      </c>
      <c r="G38" s="53" t="n">
        <v>0.09236728128318793</v>
      </c>
      <c r="H38" s="53" t="n">
        <v>0.2</v>
      </c>
      <c r="I38" s="19" t="n">
        <v>50</v>
      </c>
      <c r="J38" s="19" t="n">
        <v>1</v>
      </c>
      <c r="N38" s="42" t="n"/>
      <c r="O38" s="42" t="n"/>
      <c r="P38" s="3" t="n"/>
    </row>
    <row r="39">
      <c r="B39" s="18" t="inlineStr">
        <is>
          <t>4288 Duplo</t>
        </is>
      </c>
      <c r="C39" s="54" t="n">
        <v>0</v>
      </c>
      <c r="D39" s="53" t="n">
        <v>0.008529499659194506</v>
      </c>
      <c r="E39" s="53" t="n">
        <v>0</v>
      </c>
      <c r="F39" s="53" t="n">
        <v>0</v>
      </c>
      <c r="G39" s="53" t="n">
        <v>0.1231569703142813</v>
      </c>
      <c r="H39" s="53" t="n">
        <v>0.2</v>
      </c>
      <c r="I39" s="19" t="n">
        <v>50</v>
      </c>
      <c r="J39" s="19" t="n">
        <v>1</v>
      </c>
      <c r="N39" s="42" t="n"/>
      <c r="O39" s="42" t="n"/>
      <c r="P39" s="3" t="n"/>
    </row>
    <row r="40">
      <c r="B40" s="18" t="inlineStr">
        <is>
          <t>4288 Spike</t>
        </is>
      </c>
      <c r="C40" s="54" t="n">
        <v>0</v>
      </c>
      <c r="D40" s="53" t="n">
        <v>0.007629165632963951</v>
      </c>
      <c r="E40" s="53" t="n">
        <v>0</v>
      </c>
      <c r="F40" s="53" t="n">
        <v>0</v>
      </c>
      <c r="G40" s="53" t="n">
        <v>0.1402624329382696</v>
      </c>
      <c r="H40" s="53" t="n">
        <v>0.2</v>
      </c>
      <c r="I40" s="19" t="n">
        <v>50</v>
      </c>
      <c r="J40" s="19" t="n">
        <v>1</v>
      </c>
      <c r="N40" s="42" t="n"/>
      <c r="O40" s="42" t="n"/>
      <c r="P40" s="3" t="n"/>
    </row>
    <row r="41">
      <c r="B41" s="18" t="inlineStr">
        <is>
          <t>4277</t>
        </is>
      </c>
      <c r="C41" s="54" t="n">
        <v>0</v>
      </c>
      <c r="D41" s="53" t="n">
        <v>0.1643886432805054</v>
      </c>
      <c r="E41" s="53" t="n">
        <v>0</v>
      </c>
      <c r="F41" s="53" t="n">
        <v>0</v>
      </c>
      <c r="G41" s="53" t="n">
        <v>0.1274336387476308</v>
      </c>
      <c r="H41" s="53" t="n">
        <v>0.2</v>
      </c>
      <c r="I41" s="19" t="n">
        <v>50</v>
      </c>
      <c r="J41" s="19" t="n">
        <v>1</v>
      </c>
      <c r="N41" s="42" t="n"/>
      <c r="O41" s="42" t="n"/>
      <c r="P41" s="3" t="n"/>
    </row>
    <row r="42">
      <c r="N42" s="42" t="n"/>
      <c r="O42" s="42" t="n"/>
      <c r="P42" s="3" t="n"/>
    </row>
    <row r="43">
      <c r="L43" s="42" t="n"/>
      <c r="M43" s="42" t="n"/>
      <c r="N43" s="42" t="n"/>
      <c r="O43" s="42" t="n"/>
      <c r="P43" s="3" t="n"/>
    </row>
    <row r="44">
      <c r="L44" s="42" t="n"/>
      <c r="M44" s="42" t="n"/>
      <c r="N44" s="42" t="n"/>
      <c r="P44" s="3" t="n"/>
    </row>
    <row r="45">
      <c r="L45" s="42" t="n"/>
      <c r="M45" s="42" t="n"/>
      <c r="N45" s="42" t="n"/>
      <c r="P45" s="3" t="n"/>
    </row>
    <row r="46">
      <c r="P46" s="3" t="n"/>
    </row>
    <row r="47">
      <c r="P47" s="3" t="n"/>
    </row>
    <row r="48">
      <c r="P48" s="3" t="n"/>
    </row>
    <row r="49">
      <c r="P49" s="3" t="n"/>
    </row>
    <row r="50">
      <c r="P50" s="3" t="n"/>
    </row>
  </sheetData>
  <mergeCells count="2">
    <mergeCell ref="B3:J3"/>
    <mergeCell ref="L3:Q3"/>
  </mergeCells>
  <pageMargins left="0.7" right="0.7" top="0.75" bottom="0.75" header="0.3" footer="0.3"/>
  <pageSetup orientation="portrait" paperSize="9" horizontalDpi="0" verticalDpi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Kai UNNES</dc:creator>
  <dcterms:created xsi:type="dcterms:W3CDTF">2025-12-04T00:55:05Z</dcterms:created>
  <dcterms:modified xsi:type="dcterms:W3CDTF">2026-09-23T13:33:55Z</dcterms:modified>
  <cp:lastModifiedBy>Kai UNNES</cp:lastModifiedBy>
</cp:coreProperties>
</file>