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valid-ex\sensitive-data\"/>
    </mc:Choice>
  </mc:AlternateContent>
  <xr:revisionPtr revIDLastSave="0" documentId="13_ncr:1_{B0D0258C-A1D5-40E2-A9E3-75E012DA9F02}" xr6:coauthVersionLast="47" xr6:coauthVersionMax="47" xr10:uidLastSave="{00000000-0000-0000-0000-000000000000}"/>
  <bookViews>
    <workbookView xWindow="-108" yWindow="-108" windowWidth="23256" windowHeight="12456" xr2:uid="{6752E755-4026-4C5E-92F9-37B383541269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8" i="1"/>
  <c r="G6" i="1"/>
  <c r="W12" i="1"/>
  <c r="Y12" i="1" s="1"/>
  <c r="B17" i="1" s="1"/>
  <c r="U12" i="1"/>
  <c r="T13" i="1"/>
  <c r="T14" i="1"/>
  <c r="T15" i="1"/>
  <c r="T16" i="1"/>
  <c r="U16" i="1" s="1"/>
  <c r="V16" i="1" s="1"/>
  <c r="T17" i="1"/>
  <c r="T18" i="1"/>
  <c r="U18" i="1" s="1"/>
  <c r="V18" i="1" s="1"/>
  <c r="T12" i="1"/>
  <c r="V12" i="1" s="1"/>
  <c r="U13" i="1"/>
  <c r="V13" i="1" s="1"/>
  <c r="U14" i="1"/>
  <c r="V14" i="1" s="1"/>
  <c r="U17" i="1"/>
  <c r="V17" i="1" s="1"/>
  <c r="G13" i="1"/>
  <c r="X12" i="1" l="1"/>
  <c r="B16" i="1" s="1"/>
  <c r="U15" i="1"/>
  <c r="V15" i="1" s="1"/>
  <c r="V19" i="1" s="1"/>
</calcChain>
</file>

<file path=xl/sharedStrings.xml><?xml version="1.0" encoding="utf-8"?>
<sst xmlns="http://schemas.openxmlformats.org/spreadsheetml/2006/main" count="75" uniqueCount="62">
  <si>
    <t>FINAL REPORT</t>
  </si>
  <si>
    <t>Sampel ID</t>
  </si>
  <si>
    <t>Weight</t>
  </si>
  <si>
    <t>Volume</t>
  </si>
  <si>
    <t>dF</t>
  </si>
  <si>
    <t>Result</t>
  </si>
  <si>
    <t>Rec.</t>
  </si>
  <si>
    <t xml:space="preserve"> (g)</t>
  </si>
  <si>
    <t xml:space="preserve"> (mL)</t>
  </si>
  <si>
    <t>mg/Kg</t>
  </si>
  <si>
    <t>(%)</t>
  </si>
  <si>
    <t>Blank</t>
  </si>
  <si>
    <t>Blank Spike</t>
  </si>
  <si>
    <t>Cek Std</t>
  </si>
  <si>
    <t>Cek Std (CRM)</t>
  </si>
  <si>
    <t>Conc.spiked</t>
  </si>
  <si>
    <t>LOD</t>
  </si>
  <si>
    <t>LOQ</t>
  </si>
  <si>
    <t xml:space="preserve"> </t>
  </si>
  <si>
    <t>QC CRITERIA CHECK</t>
  </si>
  <si>
    <t>Calibration Curve</t>
  </si>
  <si>
    <r>
      <t xml:space="preserve">r </t>
    </r>
    <r>
      <rPr>
        <sz val="10"/>
        <rFont val="Calibri"/>
        <family val="2"/>
      </rPr>
      <t>≥ 0.995</t>
    </r>
  </si>
  <si>
    <t>Calibration Standar Check Recovery</t>
  </si>
  <si>
    <r>
      <t xml:space="preserve">100 </t>
    </r>
    <r>
      <rPr>
        <sz val="10"/>
        <rFont val="Calibri"/>
        <family val="2"/>
      </rPr>
      <t>± 10%</t>
    </r>
  </si>
  <si>
    <t>Sample &amp; QC Spike Recovery</t>
  </si>
  <si>
    <t>60-115%</t>
  </si>
  <si>
    <t>RPD</t>
  </si>
  <si>
    <r>
      <t>≤</t>
    </r>
    <r>
      <rPr>
        <sz val="10"/>
        <rFont val="Verdana"/>
        <family val="2"/>
      </rPr>
      <t xml:space="preserve"> 20%</t>
    </r>
  </si>
  <si>
    <t>Conc.(mg/Kg) =</t>
  </si>
  <si>
    <t xml:space="preserve">Analyzed by : </t>
  </si>
  <si>
    <t xml:space="preserve">Date : </t>
  </si>
  <si>
    <t>Checked by :</t>
  </si>
  <si>
    <t>Solution Label</t>
  </si>
  <si>
    <t>Standar 1</t>
  </si>
  <si>
    <t>LoD dan LoQ</t>
  </si>
  <si>
    <t>Standar 2</t>
  </si>
  <si>
    <t>Standar 3</t>
  </si>
  <si>
    <t>Standar 4</t>
  </si>
  <si>
    <t>Standar 5</t>
  </si>
  <si>
    <t>No</t>
  </si>
  <si>
    <t>Intensitas</t>
  </si>
  <si>
    <t>Y'</t>
  </si>
  <si>
    <t>y-y'</t>
  </si>
  <si>
    <t>(y-y')2</t>
  </si>
  <si>
    <t>SB</t>
  </si>
  <si>
    <t>Standar 6</t>
  </si>
  <si>
    <t>LOD (ppm)</t>
  </si>
  <si>
    <t>LOQ (ppm)</t>
  </si>
  <si>
    <t>Heavy Metal By ICP-OES</t>
  </si>
  <si>
    <t>Mo 202.032 nm ppm</t>
  </si>
  <si>
    <t>Mo 202.032 nm c/s</t>
  </si>
  <si>
    <t>Mo</t>
  </si>
  <si>
    <t>C (ppm)</t>
  </si>
  <si>
    <t>Logam Mo</t>
  </si>
  <si>
    <t>mg/L</t>
  </si>
  <si>
    <t>Conc.(Sampel - Blank)mg/L x V(mL)x 10^-3 (L/mL)x D.F</t>
  </si>
  <si>
    <t>Weight(g) x 10^-3 (Kg/g)</t>
  </si>
  <si>
    <t>Sampel 1</t>
  </si>
  <si>
    <t>Sampel 2</t>
  </si>
  <si>
    <t>Sampel 3</t>
  </si>
  <si>
    <t>Sampel 4</t>
  </si>
  <si>
    <t>Sampel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</si>
</sst>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8"/>
      <color theme="1"/>
      <name val="Verdana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3366FF"/>
      </bottom>
      <diagonal/>
    </border>
    <border>
      <left/>
      <right/>
      <top/>
      <bottom style="thin">
        <color rgb="FF0066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>
      <alignment vertical="top"/>
    </xf>
    <xf numFmtId="0" fontId="10" fillId="0" borderId="0"/>
  </cellStyleXfs>
  <cellXfs count="102">
    <xf numFmtId="0" fontId="0" fillId="0" borderId="0" xfId="0"/>
    <xf numFmtId="0" fontId="4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 readingOrder="1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 readingOrder="1"/>
    </xf>
    <xf numFmtId="0" fontId="5" fillId="0" borderId="8" xfId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readingOrder="1"/>
    </xf>
    <xf numFmtId="164" fontId="4" fillId="2" borderId="12" xfId="1" applyNumberFormat="1" applyFont="1" applyFill="1" applyBorder="1" applyAlignment="1">
      <alignment horizontal="center" vertical="center" wrapText="1" readingOrder="1"/>
    </xf>
    <xf numFmtId="0" fontId="4" fillId="3" borderId="13" xfId="1" applyFont="1" applyFill="1" applyBorder="1" applyAlignment="1">
      <alignment horizontal="center" vertical="center" wrapText="1" readingOrder="1"/>
    </xf>
    <xf numFmtId="0" fontId="4" fillId="4" borderId="14" xfId="1" applyFont="1" applyFill="1" applyBorder="1" applyAlignment="1">
      <alignment horizontal="center" vertical="center" wrapText="1" readingOrder="1"/>
    </xf>
    <xf numFmtId="0" fontId="4" fillId="3" borderId="12" xfId="1" applyFont="1" applyFill="1" applyBorder="1" applyAlignment="1">
      <alignment vertical="center" wrapText="1" readingOrder="1"/>
    </xf>
    <xf numFmtId="0" fontId="5" fillId="0" borderId="17" xfId="1" applyFont="1" applyBorder="1" applyAlignment="1">
      <alignment horizontal="left" vertical="center" wrapText="1" readingOrder="1"/>
    </xf>
    <xf numFmtId="164" fontId="4" fillId="2" borderId="18" xfId="1" applyNumberFormat="1" applyFont="1" applyFill="1" applyBorder="1" applyAlignment="1">
      <alignment horizontal="center" vertical="center" wrapText="1" readingOrder="1"/>
    </xf>
    <xf numFmtId="0" fontId="4" fillId="3" borderId="15" xfId="1" applyFont="1" applyFill="1" applyBorder="1" applyAlignment="1">
      <alignment horizontal="center" vertical="center" wrapText="1" readingOrder="1"/>
    </xf>
    <xf numFmtId="0" fontId="4" fillId="4" borderId="19" xfId="1" applyFont="1" applyFill="1" applyBorder="1" applyAlignment="1">
      <alignment horizontal="center" vertical="center" wrapText="1" readingOrder="1"/>
    </xf>
    <xf numFmtId="165" fontId="0" fillId="5" borderId="15" xfId="0" applyNumberFormat="1" applyFill="1" applyBorder="1" applyAlignment="1">
      <alignment horizontal="center"/>
    </xf>
    <xf numFmtId="0" fontId="4" fillId="3" borderId="20" xfId="1" applyFont="1" applyFill="1" applyBorder="1" applyAlignment="1">
      <alignment vertical="center" wrapText="1" readingOrder="1"/>
    </xf>
    <xf numFmtId="164" fontId="1" fillId="0" borderId="20" xfId="0" applyNumberFormat="1" applyFont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 readingOrder="1"/>
    </xf>
    <xf numFmtId="165" fontId="5" fillId="3" borderId="20" xfId="1" applyNumberFormat="1" applyFont="1" applyFill="1" applyBorder="1" applyAlignment="1">
      <alignment horizontal="center" vertical="center" wrapText="1" readingOrder="1"/>
    </xf>
    <xf numFmtId="0" fontId="5" fillId="6" borderId="15" xfId="1" applyFont="1" applyFill="1" applyBorder="1" applyAlignment="1">
      <alignment horizontal="left" vertical="center" wrapText="1" readingOrder="1"/>
    </xf>
    <xf numFmtId="164" fontId="4" fillId="7" borderId="22" xfId="1" applyNumberFormat="1" applyFont="1" applyFill="1" applyBorder="1" applyAlignment="1">
      <alignment horizontal="center" vertical="center" wrapText="1" readingOrder="1"/>
    </xf>
    <xf numFmtId="0" fontId="4" fillId="3" borderId="8" xfId="1" applyFont="1" applyFill="1" applyBorder="1" applyAlignment="1">
      <alignment horizontal="center" vertical="center" wrapText="1" readingOrder="1"/>
    </xf>
    <xf numFmtId="0" fontId="4" fillId="4" borderId="23" xfId="1" applyFont="1" applyFill="1" applyBorder="1" applyAlignment="1">
      <alignment horizontal="center" vertical="center" wrapText="1" readingOrder="1"/>
    </xf>
    <xf numFmtId="2" fontId="4" fillId="7" borderId="7" xfId="1" applyNumberFormat="1" applyFont="1" applyFill="1" applyBorder="1" applyAlignment="1">
      <alignment horizontal="center" vertical="center" wrapText="1" readingOrder="1"/>
    </xf>
    <xf numFmtId="2" fontId="5" fillId="0" borderId="8" xfId="1" applyNumberFormat="1" applyFont="1" applyBorder="1" applyAlignment="1">
      <alignment horizontal="center" vertical="center" wrapText="1" readingOrder="1"/>
    </xf>
    <xf numFmtId="0" fontId="4" fillId="8" borderId="11" xfId="1" applyFont="1" applyFill="1" applyBorder="1" applyAlignment="1">
      <alignment horizontal="center" vertical="center" wrapText="1" readingOrder="1"/>
    </xf>
    <xf numFmtId="0" fontId="5" fillId="8" borderId="25" xfId="1" applyFont="1" applyFill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 wrapText="1" readingOrder="1"/>
    </xf>
    <xf numFmtId="2" fontId="4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 readingOrder="1"/>
    </xf>
    <xf numFmtId="2" fontId="5" fillId="0" borderId="0" xfId="1" applyNumberFormat="1" applyFont="1" applyAlignment="1">
      <alignment vertical="center" wrapText="1" readingOrder="1"/>
    </xf>
    <xf numFmtId="0" fontId="4" fillId="4" borderId="28" xfId="1" applyFont="1" applyFill="1" applyBorder="1" applyAlignment="1">
      <alignment horizontal="center" vertical="center" wrapText="1" readingOrder="1"/>
    </xf>
    <xf numFmtId="164" fontId="4" fillId="4" borderId="29" xfId="1" applyNumberFormat="1" applyFont="1" applyFill="1" applyBorder="1" applyAlignment="1">
      <alignment horizontal="right" vertical="center"/>
    </xf>
    <xf numFmtId="0" fontId="4" fillId="9" borderId="30" xfId="1" applyFont="1" applyFill="1" applyBorder="1" applyAlignment="1">
      <alignment horizontal="center" vertical="center" wrapText="1" readingOrder="1"/>
    </xf>
    <xf numFmtId="164" fontId="4" fillId="9" borderId="31" xfId="1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4" fillId="6" borderId="13" xfId="1" applyFont="1" applyFill="1" applyBorder="1" applyAlignment="1">
      <alignment horizontal="center" vertical="center"/>
    </xf>
    <xf numFmtId="1" fontId="5" fillId="0" borderId="35" xfId="1" applyNumberFormat="1" applyFont="1" applyBorder="1" applyAlignment="1">
      <alignment horizontal="center" vertical="center" wrapText="1" readingOrder="1"/>
    </xf>
    <xf numFmtId="0" fontId="4" fillId="0" borderId="15" xfId="1" applyFont="1" applyBorder="1" applyAlignment="1">
      <alignment horizontal="center" vertical="center"/>
    </xf>
    <xf numFmtId="0" fontId="4" fillId="0" borderId="27" xfId="1" applyFont="1" applyBorder="1" applyAlignment="1">
      <alignment vertical="center"/>
    </xf>
    <xf numFmtId="0" fontId="6" fillId="6" borderId="8" xfId="1" applyFont="1" applyFill="1" applyBorder="1" applyAlignment="1">
      <alignment horizontal="center" vertical="center"/>
    </xf>
    <xf numFmtId="1" fontId="5" fillId="0" borderId="38" xfId="1" applyNumberFormat="1" applyFont="1" applyBorder="1" applyAlignment="1">
      <alignment horizontal="center" vertical="center" wrapText="1" readingOrder="1"/>
    </xf>
    <xf numFmtId="0" fontId="4" fillId="6" borderId="0" xfId="1" applyFont="1" applyFill="1" applyAlignment="1">
      <alignment horizontal="center" vertical="center" wrapText="1" readingOrder="1"/>
    </xf>
    <xf numFmtId="2" fontId="4" fillId="6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40" xfId="1" applyFont="1" applyBorder="1" applyAlignment="1">
      <alignment vertical="center"/>
    </xf>
    <xf numFmtId="2" fontId="5" fillId="0" borderId="41" xfId="1" applyNumberFormat="1" applyFont="1" applyBorder="1" applyAlignment="1">
      <alignment horizontal="center" vertical="center" wrapText="1" readingOrder="1"/>
    </xf>
    <xf numFmtId="0" fontId="5" fillId="0" borderId="0" xfId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 wrapText="1" readingOrder="1"/>
    </xf>
    <xf numFmtId="0" fontId="2" fillId="0" borderId="0" xfId="1" applyFont="1" applyAlignment="1">
      <alignment vertical="center"/>
    </xf>
    <xf numFmtId="0" fontId="7" fillId="0" borderId="15" xfId="0" applyFont="1" applyBorder="1" applyAlignment="1">
      <alignment horizontal="center"/>
    </xf>
    <xf numFmtId="0" fontId="8" fillId="5" borderId="15" xfId="0" applyFont="1" applyFill="1" applyBorder="1"/>
    <xf numFmtId="0" fontId="7" fillId="0" borderId="0" xfId="0" applyFont="1"/>
    <xf numFmtId="0" fontId="7" fillId="5" borderId="1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5" xfId="0" applyFont="1" applyBorder="1"/>
    <xf numFmtId="165" fontId="7" fillId="0" borderId="15" xfId="0" applyNumberFormat="1" applyFont="1" applyBorder="1" applyAlignment="1">
      <alignment vertical="center"/>
    </xf>
    <xf numFmtId="2" fontId="7" fillId="0" borderId="15" xfId="0" applyNumberFormat="1" applyFont="1" applyBorder="1" applyAlignment="1">
      <alignment vertical="center"/>
    </xf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15" xfId="0" applyFont="1" applyBorder="1"/>
    <xf numFmtId="0" fontId="7" fillId="10" borderId="0" xfId="0" applyFon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0" fontId="8" fillId="10" borderId="0" xfId="0" applyFont="1" applyFill="1"/>
    <xf numFmtId="0" fontId="8" fillId="5" borderId="15" xfId="0" applyFont="1" applyFill="1" applyBorder="1" applyAlignment="1">
      <alignment horizontal="center"/>
    </xf>
    <xf numFmtId="2" fontId="11" fillId="5" borderId="15" xfId="2" applyNumberFormat="1" applyFont="1" applyFill="1" applyBorder="1" applyAlignment="1">
      <alignment horizontal="center" vertical="center"/>
    </xf>
    <xf numFmtId="165" fontId="0" fillId="11" borderId="15" xfId="0" applyNumberForma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165" fontId="11" fillId="5" borderId="42" xfId="2" applyNumberFormat="1" applyFont="1" applyFill="1" applyBorder="1" applyAlignment="1">
      <alignment horizontal="center" vertical="center"/>
    </xf>
    <xf numFmtId="165" fontId="4" fillId="8" borderId="24" xfId="1" applyNumberFormat="1" applyFont="1" applyFill="1" applyBorder="1" applyAlignment="1">
      <alignment horizontal="right" vertical="center"/>
    </xf>
    <xf numFmtId="165" fontId="4" fillId="8" borderId="26" xfId="1" applyNumberFormat="1" applyFont="1" applyFill="1" applyBorder="1" applyAlignment="1">
      <alignment horizontal="right" vertical="center"/>
    </xf>
    <xf numFmtId="0" fontId="9" fillId="0" borderId="4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4" fillId="6" borderId="43" xfId="1" applyFont="1" applyFill="1" applyBorder="1" applyAlignment="1">
      <alignment horizontal="left" vertical="center" wrapText="1" readingOrder="1"/>
    </xf>
    <xf numFmtId="0" fontId="4" fillId="6" borderId="2" xfId="1" applyFont="1" applyFill="1" applyBorder="1" applyAlignment="1">
      <alignment horizontal="left" vertical="center" wrapText="1" readingOrder="1"/>
    </xf>
    <xf numFmtId="0" fontId="4" fillId="0" borderId="36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6" borderId="37" xfId="1" applyFont="1" applyFill="1" applyBorder="1" applyAlignment="1">
      <alignment horizontal="left" vertical="center" wrapText="1" readingOrder="1"/>
    </xf>
    <xf numFmtId="0" fontId="4" fillId="6" borderId="7" xfId="1" applyFont="1" applyFill="1" applyBorder="1" applyAlignment="1">
      <alignment horizontal="left" vertical="center" wrapText="1" readingOrder="1"/>
    </xf>
    <xf numFmtId="0" fontId="4" fillId="4" borderId="26" xfId="1" applyFont="1" applyFill="1" applyBorder="1" applyAlignment="1">
      <alignment horizontal="center" vertical="center"/>
    </xf>
    <xf numFmtId="0" fontId="4" fillId="8" borderId="39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 wrapText="1" readingOrder="1"/>
    </xf>
    <xf numFmtId="2" fontId="5" fillId="0" borderId="21" xfId="1" applyNumberFormat="1" applyFont="1" applyBorder="1" applyAlignment="1">
      <alignment horizontal="center" vertical="center" wrapText="1" readingOrder="1"/>
    </xf>
  </cellXfs>
  <cellStyles count="3">
    <cellStyle name="Normal" xfId="0" builtinId="0"/>
    <cellStyle name="Normal 2 2" xfId="2" xr:uid="{0A162474-CE70-40CF-809C-82D9F060061B}"/>
    <cellStyle name="Normal_111021-pbcd" xfId="1" xr:uid="{582436AE-894A-4937-8907-CD4279097F81}"/>
  </cellStyles>
  <dxfs count="2">
    <dxf>
      <font>
        <b/>
        <i val="0"/>
        <condense val="0"/>
        <extend val="0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Kurva</a:t>
            </a:r>
            <a:r>
              <a:rPr lang="en-US" baseline="0"/>
              <a:t> Kalibrasi Standar </a:t>
            </a:r>
            <a:r>
              <a:rPr lang="id-ID" baseline="0"/>
              <a:t> Mo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Mo!$M$5:$M$11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Mo!$N$5:$N$11</c:f>
              <c:numCache>
                <c:formatCode>General</c:formatCode>
                <c:ptCount val="7"/>
                <c:pt idx="0">
                  <c:v>33.25</c:v>
                </c:pt>
                <c:pt idx="1">
                  <c:v>2279.39</c:v>
                </c:pt>
                <c:pt idx="2">
                  <c:v>5403.57</c:v>
                </c:pt>
                <c:pt idx="3">
                  <c:v>9132.67</c:v>
                </c:pt>
                <c:pt idx="4">
                  <c:v>12614.31</c:v>
                </c:pt>
                <c:pt idx="5">
                  <c:v>13896.79</c:v>
                </c:pt>
                <c:pt idx="6">
                  <c:v>17610.61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17-4E9A-98F5-181A7128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426016"/>
        <c:axId val="1503460912"/>
      </c:scatterChart>
      <c:valAx>
        <c:axId val="91242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Konsentrasi</a:t>
                </a:r>
                <a:r>
                  <a:rPr lang="en-US" baseline="0"/>
                  <a:t> (ppb)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3460912"/>
        <c:crosses val="autoZero"/>
        <c:crossBetween val="midCat"/>
      </c:valAx>
      <c:valAx>
        <c:axId val="15034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Intensitas (c/s)</a:t>
                </a:r>
                <a:r>
                  <a:rPr lang="en-US" baseline="0"/>
                  <a:t> 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1242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5042</xdr:colOff>
      <xdr:row>20</xdr:row>
      <xdr:rowOff>185837</xdr:rowOff>
    </xdr:from>
    <xdr:to>
      <xdr:col>16</xdr:col>
      <xdr:colOff>833438</xdr:colOff>
      <xdr:row>37</xdr:row>
      <xdr:rowOff>56584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B2610-C537-4D92-B434-D10709AAC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D8E2-3247-4DDD-AA86-312D2876C0A6}">
  <dimension ref="A1:Y40"/>
  <sheetViews>
    <sheetView tabSelected="1" zoomScale="101" zoomScaleNormal="112" workbookViewId="0">
      <selection activeCell="F13" sqref="F13"/>
    </sheetView>
  </sheetViews>
  <sheetFormatPr defaultRowHeight="14.4" x14ac:dyDescent="0.3"/>
  <cols>
    <col min="1" max="1" width="33.6640625" customWidth="1"/>
    <col min="2" max="2" width="16.5546875" customWidth="1"/>
    <col min="4" max="4" width="9.33203125" bestFit="1" customWidth="1"/>
    <col min="5" max="5" width="15.88671875" customWidth="1"/>
    <col min="6" max="6" width="14" customWidth="1"/>
    <col min="7" max="7" width="9.44140625" bestFit="1" customWidth="1"/>
    <col min="11" max="11" width="0.33203125" customWidth="1"/>
    <col min="12" max="12" width="18.44140625" customWidth="1"/>
    <col min="13" max="13" width="21.88671875" customWidth="1"/>
    <col min="14" max="14" width="21.109375" customWidth="1"/>
    <col min="15" max="15" width="7.109375" customWidth="1"/>
    <col min="16" max="16" width="3.33203125" customWidth="1"/>
    <col min="17" max="17" width="16.6640625" customWidth="1"/>
    <col min="18" max="18" width="15.5546875" customWidth="1"/>
    <col min="19" max="19" width="17.6640625" customWidth="1"/>
    <col min="20" max="20" width="13" bestFit="1" customWidth="1"/>
    <col min="21" max="21" width="15.33203125" customWidth="1"/>
    <col min="22" max="22" width="16" bestFit="1" customWidth="1"/>
    <col min="23" max="23" width="13.6640625" bestFit="1" customWidth="1"/>
    <col min="24" max="24" width="12.44140625" customWidth="1"/>
    <col min="25" max="25" width="13.109375" customWidth="1"/>
  </cols>
  <sheetData>
    <row r="1" spans="1:25" ht="16.2" x14ac:dyDescent="0.3">
      <c r="A1" s="94" t="s">
        <v>0</v>
      </c>
      <c r="B1" s="94"/>
      <c r="C1" s="94"/>
      <c r="D1" s="94"/>
      <c r="E1" s="94"/>
      <c r="F1" s="94"/>
      <c r="G1" s="94"/>
    </row>
    <row r="2" spans="1:25" x14ac:dyDescent="0.3">
      <c r="A2" s="95" t="s">
        <v>48</v>
      </c>
      <c r="B2" s="95"/>
      <c r="C2" s="95"/>
      <c r="D2" s="95"/>
      <c r="E2" s="95"/>
      <c r="F2" s="95"/>
      <c r="G2" s="95"/>
    </row>
    <row r="3" spans="1:25" ht="15" thickBot="1" x14ac:dyDescent="0.35">
      <c r="A3" s="1"/>
      <c r="B3" s="1"/>
      <c r="C3" s="1"/>
      <c r="D3" s="1"/>
      <c r="E3" s="1"/>
      <c r="F3" s="1"/>
      <c r="G3" s="1"/>
    </row>
    <row r="4" spans="1:25" x14ac:dyDescent="0.3">
      <c r="A4" s="96" t="s">
        <v>1</v>
      </c>
      <c r="B4" s="2" t="s">
        <v>2</v>
      </c>
      <c r="C4" s="3" t="s">
        <v>3</v>
      </c>
      <c r="D4" s="98" t="s">
        <v>4</v>
      </c>
      <c r="E4" s="4" t="s">
        <v>51</v>
      </c>
      <c r="F4" s="5" t="s">
        <v>5</v>
      </c>
      <c r="G4" s="5" t="s">
        <v>6</v>
      </c>
      <c r="L4" s="56" t="s">
        <v>32</v>
      </c>
      <c r="M4" s="66" t="s">
        <v>49</v>
      </c>
      <c r="N4" s="66" t="s">
        <v>50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spans="1:25" ht="15" thickBot="1" x14ac:dyDescent="0.35">
      <c r="A5" s="97"/>
      <c r="B5" s="6" t="s">
        <v>7</v>
      </c>
      <c r="C5" s="7" t="s">
        <v>8</v>
      </c>
      <c r="D5" s="99"/>
      <c r="E5" s="8" t="s">
        <v>54</v>
      </c>
      <c r="F5" s="9" t="s">
        <v>9</v>
      </c>
      <c r="G5" s="9" t="s">
        <v>10</v>
      </c>
      <c r="L5" s="56" t="s">
        <v>11</v>
      </c>
      <c r="M5" s="70">
        <v>0</v>
      </c>
      <c r="N5" s="70">
        <v>33.25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 ht="22.2" x14ac:dyDescent="0.35">
      <c r="A6" s="10" t="s">
        <v>11</v>
      </c>
      <c r="B6" s="11"/>
      <c r="C6" s="12">
        <v>50</v>
      </c>
      <c r="D6" s="13">
        <v>1</v>
      </c>
      <c r="E6" s="71">
        <v>0</v>
      </c>
      <c r="F6" s="14"/>
      <c r="G6" s="100">
        <f>100*(E7-E6)/B15</f>
        <v>100</v>
      </c>
      <c r="L6" s="59" t="s">
        <v>33</v>
      </c>
      <c r="M6" s="70">
        <v>0.1</v>
      </c>
      <c r="N6" s="70">
        <v>2279.39</v>
      </c>
      <c r="O6" s="58"/>
      <c r="P6" s="58"/>
      <c r="Q6" s="58"/>
      <c r="R6" s="58"/>
      <c r="S6" s="58"/>
      <c r="T6" s="77" t="s">
        <v>34</v>
      </c>
      <c r="U6" s="78"/>
      <c r="V6" s="78"/>
      <c r="W6" s="78"/>
      <c r="X6" s="58"/>
      <c r="Y6" s="58"/>
    </row>
    <row r="7" spans="1:25" x14ac:dyDescent="0.3">
      <c r="A7" s="15" t="s">
        <v>12</v>
      </c>
      <c r="B7" s="16"/>
      <c r="C7" s="17">
        <v>50</v>
      </c>
      <c r="D7" s="18">
        <v>1</v>
      </c>
      <c r="E7" s="74">
        <v>0.5</v>
      </c>
      <c r="F7" s="20"/>
      <c r="G7" s="101"/>
      <c r="L7" s="59" t="s">
        <v>35</v>
      </c>
      <c r="M7" s="70">
        <v>0.3</v>
      </c>
      <c r="N7" s="70">
        <v>5403.57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spans="1:25" x14ac:dyDescent="0.3">
      <c r="A8" s="57" t="s">
        <v>57</v>
      </c>
      <c r="B8" s="21">
        <v>0.72899999999999998</v>
      </c>
      <c r="C8" s="22">
        <v>50</v>
      </c>
      <c r="D8" s="18">
        <v>1</v>
      </c>
      <c r="E8" s="72">
        <v>0</v>
      </c>
      <c r="F8" s="23">
        <f>IF((E8-E$6)*C8*D8/(B8)&lt;0,"0.00",(E8-E$6)*C8*D8/(B8))</f>
        <v>0</v>
      </c>
      <c r="G8" s="101"/>
      <c r="L8" s="59" t="s">
        <v>36</v>
      </c>
      <c r="M8" s="70">
        <v>0.5</v>
      </c>
      <c r="N8" s="70">
        <v>9132.67</v>
      </c>
      <c r="O8" s="58"/>
      <c r="P8" s="58"/>
      <c r="Q8" s="79"/>
      <c r="R8" s="79"/>
      <c r="S8" s="79"/>
      <c r="T8" s="79"/>
      <c r="U8" s="79"/>
      <c r="V8" s="79"/>
      <c r="W8" s="79"/>
      <c r="X8" s="79"/>
      <c r="Y8" s="79"/>
    </row>
    <row r="9" spans="1:25" x14ac:dyDescent="0.3">
      <c r="A9" s="57" t="s">
        <v>58</v>
      </c>
      <c r="B9" s="21">
        <v>0.1242</v>
      </c>
      <c r="C9" s="22">
        <v>50</v>
      </c>
      <c r="D9" s="18">
        <v>100</v>
      </c>
      <c r="E9" s="73">
        <v>0.21</v>
      </c>
      <c r="F9" s="23">
        <f t="shared" ref="F9:F12" si="0">IF((E9-E$6)*C9*D9/(B9)&lt;0,"0.00",(E9-E$6)*C9*D9/(B9))</f>
        <v>8454.1062801932367</v>
      </c>
      <c r="G9" s="101"/>
      <c r="L9" s="59" t="s">
        <v>37</v>
      </c>
      <c r="M9" s="70">
        <v>0.7</v>
      </c>
      <c r="N9" s="70">
        <v>12614.31</v>
      </c>
      <c r="O9" s="58"/>
      <c r="P9" s="58"/>
      <c r="Q9" s="80" t="s">
        <v>53</v>
      </c>
      <c r="R9" s="81"/>
      <c r="S9" s="81"/>
      <c r="T9" s="81"/>
      <c r="U9" s="81"/>
      <c r="V9" s="81"/>
      <c r="W9" s="81"/>
      <c r="X9" s="81"/>
      <c r="Y9" s="82"/>
    </row>
    <row r="10" spans="1:25" x14ac:dyDescent="0.3">
      <c r="A10" s="57" t="s">
        <v>59</v>
      </c>
      <c r="B10" s="21">
        <v>0.1414</v>
      </c>
      <c r="C10" s="22">
        <v>50</v>
      </c>
      <c r="D10" s="18">
        <v>100</v>
      </c>
      <c r="E10" s="73">
        <v>0.26</v>
      </c>
      <c r="F10" s="23">
        <f t="shared" si="0"/>
        <v>9193.7765205091946</v>
      </c>
      <c r="G10" s="101"/>
      <c r="L10" s="59" t="s">
        <v>38</v>
      </c>
      <c r="M10" s="70">
        <v>0.8</v>
      </c>
      <c r="N10" s="70">
        <v>13896.79</v>
      </c>
      <c r="O10" s="58"/>
      <c r="P10" s="58"/>
      <c r="Q10" s="56" t="s">
        <v>39</v>
      </c>
      <c r="R10" s="56" t="s">
        <v>52</v>
      </c>
      <c r="S10" s="56" t="s">
        <v>40</v>
      </c>
      <c r="T10" s="56" t="s">
        <v>41</v>
      </c>
      <c r="U10" s="56" t="s">
        <v>42</v>
      </c>
      <c r="V10" s="56" t="s">
        <v>43</v>
      </c>
      <c r="W10" s="56" t="s">
        <v>44</v>
      </c>
      <c r="X10" s="56" t="s">
        <v>46</v>
      </c>
      <c r="Y10" s="56" t="s">
        <v>47</v>
      </c>
    </row>
    <row r="11" spans="1:25" x14ac:dyDescent="0.3">
      <c r="A11" s="57" t="s">
        <v>60</v>
      </c>
      <c r="B11" s="21">
        <v>9.5500000000000002E-2</v>
      </c>
      <c r="C11" s="22">
        <v>50</v>
      </c>
      <c r="D11" s="18">
        <v>100</v>
      </c>
      <c r="E11" s="73">
        <v>0.25</v>
      </c>
      <c r="F11" s="23">
        <f t="shared" si="0"/>
        <v>13089.005235602093</v>
      </c>
      <c r="G11" s="101"/>
      <c r="L11" s="59" t="s">
        <v>45</v>
      </c>
      <c r="M11" s="70">
        <v>1</v>
      </c>
      <c r="N11" s="70">
        <v>17610.61</v>
      </c>
      <c r="O11" s="58"/>
      <c r="P11" s="58"/>
      <c r="Q11" s="56"/>
      <c r="R11" s="56"/>
      <c r="S11" s="56"/>
      <c r="T11" s="56"/>
      <c r="U11" s="56"/>
      <c r="V11" s="56"/>
      <c r="W11" s="56"/>
      <c r="X11" s="56"/>
      <c r="Y11" s="56"/>
    </row>
    <row r="12" spans="1:25" x14ac:dyDescent="0.3">
      <c r="A12" s="57" t="s">
        <v>61</v>
      </c>
      <c r="B12" s="21">
        <v>9.0899999999999995E-2</v>
      </c>
      <c r="C12" s="22">
        <v>50</v>
      </c>
      <c r="D12" s="18">
        <v>100</v>
      </c>
      <c r="E12" s="73">
        <v>0.37</v>
      </c>
      <c r="F12" s="23">
        <f t="shared" si="0"/>
        <v>20352.035203520354</v>
      </c>
      <c r="G12" s="101"/>
      <c r="L12" s="60"/>
      <c r="M12" s="64"/>
      <c r="N12" s="65"/>
      <c r="O12" s="58"/>
      <c r="P12" s="58"/>
      <c r="Q12" s="56" t="s">
        <v>11</v>
      </c>
      <c r="R12" s="70">
        <v>0</v>
      </c>
      <c r="S12" s="70">
        <v>33.25</v>
      </c>
      <c r="T12" s="61">
        <f>(17330*R12)+292.67</f>
        <v>292.67</v>
      </c>
      <c r="U12" s="61">
        <f>(S12-T12)</f>
        <v>-259.42</v>
      </c>
      <c r="V12" s="61">
        <f>(U12*U12)</f>
        <v>67298.736400000009</v>
      </c>
      <c r="W12" s="62">
        <f>SQRT((V19)/(7-2))</f>
        <v>234.13066966973778</v>
      </c>
      <c r="X12" s="62">
        <f>3*(W12/17330)</f>
        <v>4.0530410214034238E-2</v>
      </c>
      <c r="Y12" s="62">
        <f>10*(W12/17330)</f>
        <v>0.13510136738011413</v>
      </c>
    </row>
    <row r="13" spans="1:25" ht="15" thickBot="1" x14ac:dyDescent="0.35">
      <c r="A13" s="24" t="s">
        <v>13</v>
      </c>
      <c r="B13" s="25"/>
      <c r="C13" s="26">
        <v>50</v>
      </c>
      <c r="D13" s="27">
        <v>1</v>
      </c>
      <c r="E13" s="19">
        <v>0.5</v>
      </c>
      <c r="F13" s="28"/>
      <c r="G13" s="29">
        <f>(E13/B14)*100</f>
        <v>100</v>
      </c>
      <c r="L13" s="67"/>
      <c r="M13" s="68"/>
      <c r="N13" s="69"/>
      <c r="O13" s="58"/>
      <c r="P13" s="58"/>
      <c r="Q13" s="59" t="s">
        <v>33</v>
      </c>
      <c r="R13" s="70">
        <v>0.1</v>
      </c>
      <c r="S13" s="70">
        <v>2279.39</v>
      </c>
      <c r="T13" s="61">
        <f t="shared" ref="T13:T18" si="1">(17330*R13)+292.67</f>
        <v>2025.67</v>
      </c>
      <c r="U13" s="61">
        <f t="shared" ref="U13:U18" si="2">(S13-T13)</f>
        <v>253.7199999999998</v>
      </c>
      <c r="V13" s="61">
        <f t="shared" ref="V13:V18" si="3">(U13*U13)</f>
        <v>64373.838399999899</v>
      </c>
      <c r="W13" s="63"/>
      <c r="X13" s="63"/>
      <c r="Y13" s="63"/>
    </row>
    <row r="14" spans="1:25" ht="15" thickBot="1" x14ac:dyDescent="0.35">
      <c r="A14" s="30" t="s">
        <v>14</v>
      </c>
      <c r="B14" s="75">
        <v>0.5</v>
      </c>
      <c r="C14" s="31" t="s">
        <v>54</v>
      </c>
      <c r="D14" s="32"/>
      <c r="E14" s="33"/>
      <c r="F14" s="34"/>
      <c r="G14" s="35"/>
      <c r="L14" s="67"/>
      <c r="M14" s="68"/>
      <c r="N14" s="69"/>
      <c r="O14" s="58"/>
      <c r="P14" s="58"/>
      <c r="Q14" s="59" t="s">
        <v>35</v>
      </c>
      <c r="R14" s="70">
        <v>0.3</v>
      </c>
      <c r="S14" s="70">
        <v>5403.57</v>
      </c>
      <c r="T14" s="61">
        <f t="shared" si="1"/>
        <v>5491.67</v>
      </c>
      <c r="U14" s="61">
        <f t="shared" si="2"/>
        <v>-88.100000000000364</v>
      </c>
      <c r="V14" s="61">
        <f t="shared" si="3"/>
        <v>7761.6100000000642</v>
      </c>
      <c r="W14" s="61"/>
      <c r="X14" s="61"/>
      <c r="Y14" s="61"/>
    </row>
    <row r="15" spans="1:25" ht="15" thickBot="1" x14ac:dyDescent="0.35">
      <c r="A15" s="30" t="s">
        <v>15</v>
      </c>
      <c r="B15" s="76">
        <v>0.5</v>
      </c>
      <c r="C15" s="31" t="s">
        <v>54</v>
      </c>
      <c r="D15" s="32"/>
      <c r="E15" s="33"/>
      <c r="F15" s="34"/>
      <c r="G15" s="35"/>
      <c r="L15" s="67"/>
      <c r="M15" s="68"/>
      <c r="N15" s="69"/>
      <c r="O15" s="58"/>
      <c r="P15" s="58"/>
      <c r="Q15" s="59" t="s">
        <v>36</v>
      </c>
      <c r="R15" s="70">
        <v>0.5</v>
      </c>
      <c r="S15" s="70">
        <v>9132.67</v>
      </c>
      <c r="T15" s="61">
        <f t="shared" si="1"/>
        <v>8957.67</v>
      </c>
      <c r="U15" s="61">
        <f>(S15-T15)</f>
        <v>175</v>
      </c>
      <c r="V15" s="61">
        <f t="shared" si="3"/>
        <v>30625</v>
      </c>
      <c r="W15" s="61"/>
      <c r="X15" s="61"/>
      <c r="Y15" s="61"/>
    </row>
    <row r="16" spans="1:25" ht="15" thickBot="1" x14ac:dyDescent="0.35">
      <c r="A16" s="36" t="s">
        <v>16</v>
      </c>
      <c r="B16" s="37">
        <f>X12</f>
        <v>4.0530410214034238E-2</v>
      </c>
      <c r="C16" s="31" t="s">
        <v>54</v>
      </c>
      <c r="D16" s="32"/>
      <c r="E16" s="33"/>
      <c r="F16" s="34"/>
      <c r="G16" s="35"/>
      <c r="L16" s="60"/>
      <c r="M16" s="64"/>
      <c r="N16" s="65"/>
      <c r="O16" s="58"/>
      <c r="P16" s="58"/>
      <c r="Q16" s="59" t="s">
        <v>37</v>
      </c>
      <c r="R16" s="70">
        <v>0.7</v>
      </c>
      <c r="S16" s="70">
        <v>12614.31</v>
      </c>
      <c r="T16" s="61">
        <f t="shared" si="1"/>
        <v>12423.67</v>
      </c>
      <c r="U16" s="61">
        <f t="shared" si="2"/>
        <v>190.63999999999942</v>
      </c>
      <c r="V16" s="61">
        <f t="shared" si="3"/>
        <v>36343.609599999778</v>
      </c>
      <c r="W16" s="61"/>
      <c r="X16" s="61"/>
      <c r="Y16" s="61"/>
    </row>
    <row r="17" spans="1:25" ht="15" thickBot="1" x14ac:dyDescent="0.35">
      <c r="A17" s="38" t="s">
        <v>17</v>
      </c>
      <c r="B17" s="39">
        <f>Y12</f>
        <v>0.13510136738011413</v>
      </c>
      <c r="C17" s="31" t="s">
        <v>54</v>
      </c>
      <c r="D17" s="32"/>
      <c r="E17" s="33"/>
      <c r="F17" s="34"/>
      <c r="G17" s="35"/>
      <c r="L17" s="60"/>
      <c r="M17" s="64"/>
      <c r="N17" s="65"/>
      <c r="O17" s="58"/>
      <c r="P17" s="58"/>
      <c r="Q17" s="59" t="s">
        <v>38</v>
      </c>
      <c r="R17" s="70">
        <v>0.8</v>
      </c>
      <c r="S17" s="70">
        <v>13896.79</v>
      </c>
      <c r="T17" s="61">
        <f t="shared" si="1"/>
        <v>14156.67</v>
      </c>
      <c r="U17" s="61">
        <f t="shared" si="2"/>
        <v>-259.8799999999992</v>
      </c>
      <c r="V17" s="61">
        <f t="shared" si="3"/>
        <v>67537.614399999584</v>
      </c>
      <c r="W17" s="61"/>
      <c r="X17" s="61"/>
      <c r="Y17" s="61"/>
    </row>
    <row r="18" spans="1:25" ht="15" thickBot="1" x14ac:dyDescent="0.35">
      <c r="A18" s="1"/>
      <c r="B18" s="40" t="s">
        <v>18</v>
      </c>
      <c r="C18" s="1"/>
      <c r="D18" s="1"/>
      <c r="E18" s="1"/>
      <c r="F18" s="1"/>
      <c r="G18" s="1"/>
      <c r="L18" s="58"/>
      <c r="M18" s="58"/>
      <c r="N18" s="58"/>
      <c r="O18" s="58"/>
      <c r="P18" s="58"/>
      <c r="Q18" s="59" t="s">
        <v>45</v>
      </c>
      <c r="R18" s="70">
        <v>1</v>
      </c>
      <c r="S18" s="70">
        <v>17610.61</v>
      </c>
      <c r="T18" s="61">
        <f t="shared" si="1"/>
        <v>17622.669999999998</v>
      </c>
      <c r="U18" s="61">
        <f t="shared" si="2"/>
        <v>-12.059999999997672</v>
      </c>
      <c r="V18" s="61">
        <f t="shared" si="3"/>
        <v>145.44359999994384</v>
      </c>
      <c r="W18" s="58"/>
      <c r="X18" s="58"/>
      <c r="Y18" s="58"/>
    </row>
    <row r="19" spans="1:25" ht="15" thickBot="1" x14ac:dyDescent="0.35">
      <c r="A19" s="83" t="s">
        <v>19</v>
      </c>
      <c r="B19" s="84"/>
      <c r="C19" s="84"/>
      <c r="D19" s="85"/>
      <c r="E19" s="1"/>
      <c r="F19" s="1"/>
      <c r="G19" s="1"/>
      <c r="L19" s="58"/>
      <c r="M19" s="58"/>
      <c r="N19" s="58"/>
      <c r="O19" s="58"/>
      <c r="P19" s="58"/>
      <c r="Q19" s="60"/>
      <c r="R19" s="64"/>
      <c r="S19" s="65"/>
      <c r="T19" s="58"/>
      <c r="U19" s="58"/>
      <c r="V19" s="58">
        <f>SUM(V12:V18)</f>
        <v>274085.85239999933</v>
      </c>
      <c r="W19" s="58"/>
      <c r="X19" s="58"/>
      <c r="Y19" s="58"/>
    </row>
    <row r="20" spans="1:25" x14ac:dyDescent="0.3">
      <c r="A20" s="86" t="s">
        <v>20</v>
      </c>
      <c r="B20" s="87"/>
      <c r="C20" s="41" t="s">
        <v>21</v>
      </c>
      <c r="D20" s="42"/>
      <c r="E20" s="33"/>
      <c r="F20" s="34"/>
      <c r="G20" s="35"/>
      <c r="L20" s="58"/>
      <c r="M20" s="58"/>
      <c r="N20" s="58"/>
      <c r="O20" s="58"/>
      <c r="P20" s="58"/>
      <c r="Q20" s="60"/>
      <c r="R20" s="64"/>
      <c r="S20" s="65"/>
      <c r="T20" s="58"/>
      <c r="U20" s="58"/>
      <c r="V20" s="58"/>
      <c r="W20" s="58"/>
      <c r="X20" s="58"/>
      <c r="Y20" s="58"/>
    </row>
    <row r="21" spans="1:25" x14ac:dyDescent="0.3">
      <c r="A21" s="88" t="s">
        <v>22</v>
      </c>
      <c r="B21" s="89"/>
      <c r="C21" s="43" t="s">
        <v>23</v>
      </c>
      <c r="D21" s="44"/>
      <c r="E21" s="1"/>
      <c r="F21" s="1"/>
      <c r="G21" s="1"/>
      <c r="L21" s="58"/>
      <c r="M21" s="58"/>
      <c r="N21" s="58"/>
      <c r="O21" s="58"/>
      <c r="P21" s="58"/>
      <c r="Q21" s="60"/>
      <c r="R21" s="64"/>
      <c r="S21" s="65"/>
      <c r="T21" s="58"/>
      <c r="U21" s="58"/>
      <c r="V21" s="58"/>
      <c r="W21" s="58"/>
      <c r="X21" s="58"/>
      <c r="Y21" s="58"/>
    </row>
    <row r="22" spans="1:25" x14ac:dyDescent="0.3">
      <c r="A22" s="88" t="s">
        <v>24</v>
      </c>
      <c r="B22" s="89"/>
      <c r="C22" s="43" t="s">
        <v>25</v>
      </c>
      <c r="D22" s="44"/>
      <c r="E22" s="1"/>
      <c r="F22" s="1"/>
      <c r="G22" s="1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spans="1:25" ht="15" thickBot="1" x14ac:dyDescent="0.35">
      <c r="A23" s="90" t="s">
        <v>26</v>
      </c>
      <c r="B23" s="91"/>
      <c r="C23" s="45" t="s">
        <v>27</v>
      </c>
      <c r="D23" s="46"/>
      <c r="E23" s="33"/>
      <c r="F23" s="34"/>
      <c r="G23" s="35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spans="1:25" x14ac:dyDescent="0.3">
      <c r="A24" s="47"/>
      <c r="B24" s="48"/>
      <c r="C24" s="49"/>
      <c r="D24" s="32"/>
      <c r="E24" s="33"/>
      <c r="F24" s="34"/>
      <c r="G24" s="35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spans="1:25" x14ac:dyDescent="0.3">
      <c r="A25" s="1"/>
      <c r="B25" s="1"/>
      <c r="C25" s="1"/>
      <c r="D25" s="1"/>
      <c r="E25" s="1"/>
      <c r="F25" s="1"/>
      <c r="G25" s="1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spans="1:25" x14ac:dyDescent="0.3">
      <c r="A26" s="50" t="s">
        <v>28</v>
      </c>
      <c r="B26" s="92" t="s">
        <v>55</v>
      </c>
      <c r="C26" s="92"/>
      <c r="D26" s="92"/>
      <c r="E26" s="92"/>
      <c r="F26" s="92"/>
      <c r="G26" s="92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spans="1:25" x14ac:dyDescent="0.3">
      <c r="A27" s="1"/>
      <c r="B27" s="93" t="s">
        <v>56</v>
      </c>
      <c r="C27" s="93"/>
      <c r="D27" s="93"/>
      <c r="E27" s="93"/>
      <c r="F27" s="93"/>
      <c r="G27" s="93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spans="1:25" x14ac:dyDescent="0.3">
      <c r="A28" s="47"/>
      <c r="B28" s="48"/>
      <c r="C28" s="49"/>
      <c r="D28" s="32"/>
      <c r="E28" s="33"/>
      <c r="F28" s="34"/>
      <c r="G28" s="35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spans="1:25" x14ac:dyDescent="0.3">
      <c r="A29" s="1"/>
      <c r="B29" s="1"/>
      <c r="C29" s="1"/>
      <c r="D29" s="1"/>
      <c r="E29" s="1"/>
      <c r="F29" s="1"/>
      <c r="G29" s="1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spans="1:25" x14ac:dyDescent="0.3">
      <c r="A30" s="50" t="s">
        <v>29</v>
      </c>
      <c r="B30" s="51"/>
      <c r="C30" s="51"/>
      <c r="D30" s="1"/>
      <c r="E30" s="50" t="s">
        <v>30</v>
      </c>
      <c r="F30" s="52"/>
      <c r="G30" s="52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spans="1:25" x14ac:dyDescent="0.3">
      <c r="A31" s="53"/>
      <c r="B31" s="53"/>
      <c r="C31" s="1"/>
      <c r="D31" s="53"/>
      <c r="E31" s="53"/>
      <c r="F31" s="54"/>
      <c r="G31" s="1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spans="1:25" x14ac:dyDescent="0.3">
      <c r="A32" s="40"/>
      <c r="B32" s="1"/>
      <c r="C32" s="1"/>
      <c r="D32" s="1"/>
      <c r="E32" s="40"/>
      <c r="F32" s="54"/>
      <c r="G32" s="1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x14ac:dyDescent="0.3">
      <c r="A33" s="50" t="s">
        <v>31</v>
      </c>
      <c r="B33" s="51"/>
      <c r="C33" s="51"/>
      <c r="D33" s="1"/>
      <c r="E33" s="50" t="s">
        <v>30</v>
      </c>
      <c r="F33" s="52"/>
      <c r="G33" s="52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x14ac:dyDescent="0.3"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x14ac:dyDescent="0.3"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16.2" x14ac:dyDescent="0.3">
      <c r="K36" s="55"/>
      <c r="L36" s="55"/>
      <c r="M36" s="55"/>
      <c r="N36" s="55"/>
      <c r="O36" s="55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16.2" x14ac:dyDescent="0.3">
      <c r="K37" s="55"/>
      <c r="L37" s="55"/>
      <c r="M37" s="55"/>
      <c r="N37" s="55"/>
      <c r="O37" s="55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16.2" x14ac:dyDescent="0.3">
      <c r="K38" s="55"/>
      <c r="L38" s="55"/>
      <c r="M38" s="55"/>
      <c r="N38" s="55"/>
      <c r="O38" s="55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16.2" x14ac:dyDescent="0.3">
      <c r="K39" s="55"/>
      <c r="L39" s="55"/>
      <c r="M39" s="55"/>
      <c r="N39" s="55"/>
      <c r="O39" s="55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16.2" x14ac:dyDescent="0.3">
      <c r="K40" s="55"/>
      <c r="L40" s="55"/>
      <c r="M40" s="55"/>
      <c r="N40" s="55"/>
      <c r="O40" s="55"/>
    </row>
  </sheetData>
  <mergeCells count="15">
    <mergeCell ref="A1:G1"/>
    <mergeCell ref="A2:G2"/>
    <mergeCell ref="A4:A5"/>
    <mergeCell ref="D4:D5"/>
    <mergeCell ref="G6:G12"/>
    <mergeCell ref="A21:B21"/>
    <mergeCell ref="A22:B22"/>
    <mergeCell ref="A23:B23"/>
    <mergeCell ref="B26:G26"/>
    <mergeCell ref="B27:G27"/>
    <mergeCell ref="T6:W6"/>
    <mergeCell ref="Q8:Y8"/>
    <mergeCell ref="Q9:Y9"/>
    <mergeCell ref="A19:D19"/>
    <mergeCell ref="A20:B20"/>
  </mergeCells>
  <conditionalFormatting sqref="G6">
    <cfRule type="cellIs" dxfId="1" priority="1" operator="greaterThan">
      <formula>120</formula>
    </cfRule>
    <cfRule type="cellIs" dxfId="0" priority="2" operator="lessThan">
      <formula>80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Safira Zikria</dc:creator>
  <cp:lastModifiedBy>Muhammad Zidan</cp:lastModifiedBy>
  <dcterms:created xsi:type="dcterms:W3CDTF">2026-08-28T08:04:10Z</dcterms:created>
  <dcterms:modified xsi:type="dcterms:W3CDTF">2026-09-15T14:32:55Z</dcterms:modified>
</cp:coreProperties>
</file>